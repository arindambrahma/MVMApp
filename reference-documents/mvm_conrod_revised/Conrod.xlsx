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rahma_chalmers_se/Documents/1. Research Docs/8. Ongoing projects/02. MVM and Robustness/Backend work/Matlab/mvm_conrod/"/>
    </mc:Choice>
  </mc:AlternateContent>
  <xr:revisionPtr revIDLastSave="2" documentId="8_{D267E587-E2F8-43E1-95DE-4B3002CD8A78}" xr6:coauthVersionLast="47" xr6:coauthVersionMax="47" xr10:uidLastSave="{F290F94E-32F8-49A7-980D-D78D41020018}"/>
  <bookViews>
    <workbookView xWindow="25695" yWindow="0" windowWidth="26010" windowHeight="20985" xr2:uid="{2DBF212A-51F0-4CB1-9A21-07955E1EBB7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  <c r="C129" i="1"/>
  <c r="C136" i="1"/>
  <c r="C125" i="1"/>
  <c r="C119" i="1"/>
  <c r="C108" i="1"/>
  <c r="C99" i="1"/>
  <c r="I58" i="1"/>
  <c r="C81" i="1"/>
  <c r="C76" i="1"/>
  <c r="C74" i="1"/>
  <c r="C72" i="1"/>
  <c r="C77" i="1"/>
  <c r="C75" i="1"/>
  <c r="C73" i="1"/>
  <c r="C59" i="1"/>
  <c r="C64" i="1" s="1"/>
  <c r="D41" i="1"/>
  <c r="C37" i="1"/>
  <c r="C35" i="1"/>
  <c r="B41" i="1" s="1"/>
  <c r="D32" i="1"/>
  <c r="U21" i="1"/>
  <c r="V21" i="1"/>
  <c r="W21" i="1"/>
  <c r="X21" i="1"/>
  <c r="Y21" i="1"/>
  <c r="T21" i="1"/>
  <c r="Y16" i="1"/>
  <c r="W16" i="1"/>
  <c r="X15" i="1"/>
  <c r="O19" i="1"/>
  <c r="P20" i="1"/>
  <c r="P19" i="1"/>
  <c r="P18" i="1"/>
  <c r="P17" i="1"/>
  <c r="P16" i="1"/>
  <c r="P15" i="1"/>
  <c r="L11" i="1"/>
  <c r="L10" i="1"/>
  <c r="L9" i="1"/>
  <c r="L8" i="1"/>
  <c r="L7" i="1"/>
  <c r="L6" i="1"/>
  <c r="V6" i="1"/>
  <c r="V5" i="1"/>
  <c r="O23" i="1"/>
  <c r="R23" i="1"/>
  <c r="O24" i="1"/>
  <c r="R24" i="1"/>
  <c r="C127" i="1"/>
  <c r="C128" i="1"/>
  <c r="C112" i="1"/>
  <c r="C110" i="1"/>
  <c r="B156" i="1" s="1"/>
  <c r="C100" i="1"/>
  <c r="C98" i="1"/>
  <c r="C141" i="1"/>
  <c r="C63" i="1" l="1"/>
  <c r="C65" i="1"/>
  <c r="C62" i="1"/>
  <c r="B159" i="1"/>
  <c r="B160" i="1" s="1"/>
  <c r="B152" i="1"/>
  <c r="I138" i="1" l="1"/>
  <c r="B163" i="1"/>
  <c r="B164" i="1" s="1"/>
  <c r="C140" i="1"/>
  <c r="G10" i="2"/>
  <c r="B157" i="1"/>
  <c r="H43" i="1"/>
  <c r="C13" i="1"/>
  <c r="C96" i="1"/>
  <c r="O16" i="1" s="1"/>
  <c r="I10" i="1"/>
  <c r="G15" i="1"/>
  <c r="K16" i="1" s="1"/>
  <c r="K19" i="1" l="1"/>
  <c r="C27" i="1"/>
  <c r="U15" i="1"/>
  <c r="T16" i="1"/>
  <c r="E163" i="1"/>
  <c r="E164" i="1" s="1"/>
  <c r="O20" i="1"/>
  <c r="K10" i="1"/>
  <c r="E152" i="1"/>
  <c r="I96" i="1"/>
  <c r="H152" i="1"/>
  <c r="D98" i="1"/>
  <c r="C121" i="1"/>
  <c r="C29" i="1"/>
  <c r="C28" i="1"/>
  <c r="I112" i="1" l="1"/>
  <c r="O17" i="1"/>
  <c r="X16" i="1"/>
  <c r="Y15" i="1"/>
  <c r="C126" i="1"/>
  <c r="I125" i="1"/>
  <c r="O18" i="1"/>
  <c r="W15" i="1" s="1"/>
  <c r="K8" i="1"/>
  <c r="K7" i="1"/>
  <c r="E153" i="1"/>
  <c r="E159" i="1"/>
  <c r="E160" i="1" s="1"/>
  <c r="C32" i="1"/>
  <c r="H41" i="1"/>
  <c r="D43" i="1" s="1"/>
  <c r="C66" i="1"/>
  <c r="C68" i="1" s="1"/>
  <c r="C84" i="1" s="1"/>
  <c r="C87" i="1" s="1"/>
  <c r="G43" i="1"/>
  <c r="F45" i="1" s="1"/>
  <c r="B47" i="1" s="1"/>
  <c r="B43" i="1"/>
  <c r="B45" i="1" s="1"/>
  <c r="E47" i="1" s="1"/>
  <c r="E48" i="1" s="1"/>
  <c r="D100" i="1"/>
  <c r="C111" i="1"/>
  <c r="D112" i="1" s="1"/>
  <c r="H156" i="1"/>
  <c r="D110" i="1"/>
  <c r="U16" i="1" l="1"/>
  <c r="V15" i="1"/>
  <c r="V16" i="1"/>
  <c r="K9" i="1"/>
  <c r="E156" i="1"/>
  <c r="E157" i="1" s="1"/>
  <c r="B148" i="1"/>
  <c r="B167" i="1" s="1"/>
  <c r="N24" i="1" s="1"/>
  <c r="B153" i="1"/>
  <c r="B48" i="1"/>
  <c r="D45" i="1"/>
  <c r="H47" i="1" s="1"/>
  <c r="H48" i="1" s="1"/>
  <c r="B149" i="1" l="1"/>
  <c r="B166" i="1" s="1"/>
  <c r="N23" i="1" s="1"/>
  <c r="D141" i="1"/>
  <c r="I141" i="1"/>
  <c r="C53" i="1"/>
  <c r="C52" i="1"/>
  <c r="K11" i="1" l="1"/>
  <c r="C55" i="1"/>
  <c r="E55" i="1"/>
  <c r="C56" i="1"/>
  <c r="E56" i="1"/>
  <c r="C58" i="1" l="1"/>
  <c r="O15" i="1" l="1"/>
  <c r="T15" i="1" s="1"/>
  <c r="K6" i="1"/>
  <c r="F64" i="1"/>
  <c r="F66" i="1"/>
  <c r="E148" i="1" s="1"/>
  <c r="E167" i="1" s="1"/>
  <c r="F65" i="1"/>
  <c r="F62" i="1"/>
  <c r="F63" i="1"/>
  <c r="D87" i="1"/>
  <c r="Q24" i="1" l="1"/>
  <c r="P5" i="1"/>
  <c r="E149" i="1"/>
  <c r="E166" i="1" l="1"/>
  <c r="Q23" i="1" s="1"/>
  <c r="Q5" i="1" l="1"/>
</calcChain>
</file>

<file path=xl/sharedStrings.xml><?xml version="1.0" encoding="utf-8"?>
<sst xmlns="http://schemas.openxmlformats.org/spreadsheetml/2006/main" count="509" uniqueCount="252">
  <si>
    <t>Design a high speed petrol engine connecting rod for following data:</t>
  </si>
  <si>
    <t>Length of connecting rod</t>
  </si>
  <si>
    <t>lc</t>
  </si>
  <si>
    <t>mm</t>
  </si>
  <si>
    <t>Diameter of piston</t>
  </si>
  <si>
    <t>Dp</t>
  </si>
  <si>
    <t>Wt of reciprocating parts</t>
  </si>
  <si>
    <t>Wr</t>
  </si>
  <si>
    <t>Stroke length</t>
  </si>
  <si>
    <t>ls</t>
  </si>
  <si>
    <t>Normal Speed</t>
  </si>
  <si>
    <t>RPM</t>
  </si>
  <si>
    <t>N</t>
  </si>
  <si>
    <t>Possible overspeed</t>
  </si>
  <si>
    <t>N'</t>
  </si>
  <si>
    <t>%</t>
  </si>
  <si>
    <t>Compression Ratio</t>
  </si>
  <si>
    <t>C</t>
  </si>
  <si>
    <t>B</t>
  </si>
  <si>
    <t>Bxt</t>
  </si>
  <si>
    <t>Hxt</t>
  </si>
  <si>
    <t>A</t>
  </si>
  <si>
    <t>h</t>
  </si>
  <si>
    <t>H</t>
  </si>
  <si>
    <t>t</t>
  </si>
  <si>
    <t>b/2</t>
  </si>
  <si>
    <t>t2</t>
  </si>
  <si>
    <t>Ixx</t>
  </si>
  <si>
    <t>(BH3-bh3)/12</t>
  </si>
  <si>
    <t>t4</t>
  </si>
  <si>
    <t>Iyy</t>
  </si>
  <si>
    <t>(HB3+hB3)/12</t>
  </si>
  <si>
    <t>Ixx/Iyy</t>
  </si>
  <si>
    <t>sigma yp</t>
  </si>
  <si>
    <t>MN/m2</t>
  </si>
  <si>
    <t>sigyp</t>
  </si>
  <si>
    <t>pi*D2/4*Pmax</t>
  </si>
  <si>
    <t>Pmax</t>
  </si>
  <si>
    <t>Max Explosive Pressure</t>
  </si>
  <si>
    <t>K</t>
  </si>
  <si>
    <t>Rankine Gordon Constant</t>
  </si>
  <si>
    <t>kxx2</t>
  </si>
  <si>
    <t>Ixx/A</t>
  </si>
  <si>
    <t>Quadratic Equation</t>
  </si>
  <si>
    <t>LHS</t>
  </si>
  <si>
    <t>RHS (N)</t>
  </si>
  <si>
    <t>FOS</t>
  </si>
  <si>
    <t>RHS(D)</t>
  </si>
  <si>
    <t>'+</t>
  </si>
  <si>
    <t>=</t>
  </si>
  <si>
    <t>-</t>
  </si>
  <si>
    <t>+</t>
  </si>
  <si>
    <t>1/t2</t>
  </si>
  <si>
    <t>t2+</t>
  </si>
  <si>
    <t>=0</t>
  </si>
  <si>
    <t>x=t2</t>
  </si>
  <si>
    <t>roots:</t>
  </si>
  <si>
    <t xml:space="preserve">or </t>
  </si>
  <si>
    <t>tround</t>
  </si>
  <si>
    <t>b</t>
  </si>
  <si>
    <t>mm2</t>
  </si>
  <si>
    <t>Compressive Stress</t>
  </si>
  <si>
    <t>N/mm2</t>
  </si>
  <si>
    <t>Max Bending Stress Innertia</t>
  </si>
  <si>
    <t>Sigb=</t>
  </si>
  <si>
    <t>0.2584*10-12xn2xrxAzWxl2/z</t>
  </si>
  <si>
    <t>n</t>
  </si>
  <si>
    <t>rps</t>
  </si>
  <si>
    <t>r</t>
  </si>
  <si>
    <t>Wight Density of conrod</t>
  </si>
  <si>
    <t>W</t>
  </si>
  <si>
    <t>rho</t>
  </si>
  <si>
    <t xml:space="preserve">Density </t>
  </si>
  <si>
    <t>Z</t>
  </si>
  <si>
    <t>N/m3</t>
  </si>
  <si>
    <t>Considers Ixx, what if it is Iyy?</t>
  </si>
  <si>
    <t>Resultant Stress</t>
  </si>
  <si>
    <t>sigc+sigb</t>
  </si>
  <si>
    <t>Decision Point</t>
  </si>
  <si>
    <t>BIG END</t>
  </si>
  <si>
    <t>l/d ratio</t>
  </si>
  <si>
    <t>ld</t>
  </si>
  <si>
    <t>(Can be between 1.25-1.5)</t>
  </si>
  <si>
    <t>Permissible bearing pressure</t>
  </si>
  <si>
    <t>Pbearing</t>
  </si>
  <si>
    <t>(Can be between 5-10N/mm2)</t>
  </si>
  <si>
    <t>d=sqrt(Fp/Pb*l)</t>
  </si>
  <si>
    <t>dround</t>
  </si>
  <si>
    <t>ld round</t>
  </si>
  <si>
    <t>SMALL END</t>
  </si>
  <si>
    <t>Pb at small end</t>
  </si>
  <si>
    <t>(Can be between 10-20N/mm2)</t>
  </si>
  <si>
    <t>(can be between 1.5-2)</t>
  </si>
  <si>
    <t>BOLT FOR BIG END</t>
  </si>
  <si>
    <t>Max innertia load</t>
  </si>
  <si>
    <t>Fi=4.03*10-3xrxn2xWr(1+1/n1)</t>
  </si>
  <si>
    <t>No of Bolts</t>
  </si>
  <si>
    <t>Nb</t>
  </si>
  <si>
    <t>Load on each bolt</t>
  </si>
  <si>
    <t>For steel</t>
  </si>
  <si>
    <t>Area of bolt</t>
  </si>
  <si>
    <t>(Fa/C)^(1-1.148)</t>
  </si>
  <si>
    <t>Choice of Bolt</t>
  </si>
  <si>
    <t>M27</t>
  </si>
  <si>
    <t>Standard Area</t>
  </si>
  <si>
    <t>sig Bolt</t>
  </si>
  <si>
    <t>CAP</t>
  </si>
  <si>
    <t>length of cap</t>
  </si>
  <si>
    <t>d+(2(liner thickness))+bolt dia+ allowance</t>
  </si>
  <si>
    <t>sqrt(Mmax*6/(sig*b))</t>
  </si>
  <si>
    <t>PERFORMANCE PARAMETERS</t>
  </si>
  <si>
    <t>Weight Rod</t>
  </si>
  <si>
    <t>Big End</t>
  </si>
  <si>
    <t>Volume Rod</t>
  </si>
  <si>
    <t>mm3</t>
  </si>
  <si>
    <t>kg/m3</t>
  </si>
  <si>
    <t>Kg</t>
  </si>
  <si>
    <t>Volume:</t>
  </si>
  <si>
    <t>kg</t>
  </si>
  <si>
    <t>Small End</t>
  </si>
  <si>
    <t>Volume</t>
  </si>
  <si>
    <t>Total Volume</t>
  </si>
  <si>
    <t>f1</t>
  </si>
  <si>
    <t>f2</t>
  </si>
  <si>
    <t>f3</t>
  </si>
  <si>
    <t>f4</t>
  </si>
  <si>
    <t>f5</t>
  </si>
  <si>
    <t>f6</t>
  </si>
  <si>
    <t>f7</t>
  </si>
  <si>
    <t>D1</t>
  </si>
  <si>
    <t>&amp;</t>
  </si>
  <si>
    <t>\\</t>
  </si>
  <si>
    <t>$</t>
  </si>
  <si>
    <t>f8</t>
  </si>
  <si>
    <t>f9</t>
  </si>
  <si>
    <t>f10</t>
  </si>
  <si>
    <t>f11</t>
  </si>
  <si>
    <t>f12</t>
  </si>
  <si>
    <t>Fc/A</t>
  </si>
  <si>
    <t>Max Piston Load on Conrod Fp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</si>
  <si>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</si>
  <si>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</si>
  <si>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</si>
  <si>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</si>
  <si>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</si>
  <si>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</si>
  <si>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</si>
  <si>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</si>
  <si>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</si>
  <si>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</si>
  <si>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Decided Values</t>
  </si>
  <si>
    <t>f24</t>
  </si>
  <si>
    <t>f25</t>
  </si>
  <si>
    <t>Bolt Volume</t>
  </si>
  <si>
    <t>Selected</t>
  </si>
  <si>
    <t>E1</t>
  </si>
  <si>
    <t>E2</t>
  </si>
  <si>
    <t>Thickness Calculations</t>
  </si>
  <si>
    <t>E3</t>
  </si>
  <si>
    <t>E4</t>
  </si>
  <si>
    <t>tcapr</t>
  </si>
  <si>
    <t>E5</t>
  </si>
  <si>
    <t>E6</t>
  </si>
  <si>
    <t>Impact</t>
  </si>
  <si>
    <t>Excess</t>
  </si>
  <si>
    <t>Default Selection</t>
  </si>
  <si>
    <t>Req Values</t>
  </si>
  <si>
    <t>Req</t>
  </si>
  <si>
    <t>D2</t>
  </si>
  <si>
    <t>D3</t>
  </si>
  <si>
    <t>D4</t>
  </si>
  <si>
    <t>D5</t>
  </si>
  <si>
    <t>Total Weight</t>
  </si>
  <si>
    <t>Weight</t>
  </si>
  <si>
    <t xml:space="preserve">Cap </t>
  </si>
  <si>
    <t>Det</t>
  </si>
  <si>
    <t>Abs</t>
  </si>
  <si>
    <t>Absoroption</t>
  </si>
  <si>
    <t>Design properties for metric hex bolts (Typical coarse pitch thread)</t>
  </si>
  <si>
    <t>Dimensions</t>
  </si>
  <si>
    <r>
      <t xml:space="preserve">Hole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 [mm]</t>
    </r>
  </si>
  <si>
    <t>Areas</t>
  </si>
  <si>
    <r>
      <t xml:space="preserve">Tensile resistance </t>
    </r>
    <r>
      <rPr>
        <b/>
        <i/>
        <sz val="11"/>
        <color theme="1"/>
        <rFont val="Aptos Narrow"/>
        <family val="2"/>
        <scheme val="minor"/>
      </rPr>
      <t>F</t>
    </r>
    <r>
      <rPr>
        <b/>
        <vertAlign val="subscript"/>
        <sz val="11"/>
        <color theme="1"/>
        <rFont val="Aptos Narrow"/>
        <family val="2"/>
        <scheme val="minor"/>
      </rPr>
      <t>t,Rd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</si>
  <si>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 xml:space="preserve">Shear resistance per shear plane </t>
    </r>
    <r>
      <rPr>
        <b/>
        <i/>
        <sz val="11"/>
        <color theme="1"/>
        <rFont val="Aptos Narrow"/>
        <family val="2"/>
        <scheme val="minor"/>
      </rPr>
      <t>F</t>
    </r>
    <r>
      <rPr>
        <b/>
        <vertAlign val="subscript"/>
        <sz val="11"/>
        <color theme="1"/>
        <rFont val="Aptos Narrow"/>
        <family val="2"/>
        <scheme val="minor"/>
      </rPr>
      <t>v,Rd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</si>
  <si>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 xml:space="preserve">Maximum bearing resistance per mm of connected plate thickness </t>
    </r>
    <r>
      <rPr>
        <b/>
        <i/>
        <sz val="11"/>
        <color theme="1"/>
        <rFont val="Aptos Narrow"/>
        <family val="2"/>
        <scheme val="minor"/>
      </rPr>
      <t>F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i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 xml:space="preserve"> [kN/mm]</t>
    </r>
  </si>
  <si>
    <r>
      <t xml:space="preserve">(for adequate distances </t>
    </r>
    <r>
      <rPr>
        <b/>
        <i/>
        <sz val="11"/>
        <color theme="1"/>
        <rFont val="Aptos Narrow"/>
        <family val="2"/>
        <scheme val="minor"/>
      </rPr>
      <t>e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≥3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e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≥1.5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≥3.75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≥3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>)</t>
    </r>
  </si>
  <si>
    <r>
      <t xml:space="preserve">Minimum bearing resistance per mm of connected plate thickness </t>
    </r>
    <r>
      <rPr>
        <b/>
        <i/>
        <sz val="11"/>
        <color theme="1"/>
        <rFont val="Aptos Narrow"/>
        <family val="2"/>
        <scheme val="minor"/>
      </rPr>
      <t>F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i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 xml:space="preserve"> [kN/mm]</t>
    </r>
  </si>
  <si>
    <r>
      <t xml:space="preserve">(for minimum distances </t>
    </r>
    <r>
      <rPr>
        <b/>
        <i/>
        <sz val="11"/>
        <color theme="1"/>
        <rFont val="Aptos Narrow"/>
        <family val="2"/>
        <scheme val="minor"/>
      </rPr>
      <t>e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=1.2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e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=1.2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=2.2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=2.4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>)</t>
    </r>
  </si>
  <si>
    <r>
      <t xml:space="preserve">Punching resistance per mm of plate thickness under bolt or nut </t>
    </r>
    <r>
      <rPr>
        <b/>
        <i/>
        <sz val="11"/>
        <color theme="1"/>
        <rFont val="Aptos Narrow"/>
        <family val="2"/>
        <scheme val="minor"/>
      </rPr>
      <t>B</t>
    </r>
    <r>
      <rPr>
        <b/>
        <vertAlign val="subscript"/>
        <sz val="11"/>
        <color theme="1"/>
        <rFont val="Aptos Narrow"/>
        <family val="2"/>
        <scheme val="minor"/>
      </rPr>
      <t>p,Rd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i/>
        <sz val="11"/>
        <color theme="1"/>
        <rFont val="Aptos Narrow"/>
        <family val="2"/>
        <scheme val="minor"/>
      </rPr>
      <t>t</t>
    </r>
    <r>
      <rPr>
        <b/>
        <vertAlign val="subscript"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[kN/mm]</t>
    </r>
  </si>
  <si>
    <t>Size</t>
  </si>
  <si>
    <t>Nominal diameter</t>
  </si>
  <si>
    <t>d [mm]</t>
  </si>
  <si>
    <t>Nut width across flats</t>
  </si>
  <si>
    <t>s [mm]</t>
  </si>
  <si>
    <t>Normal round hole</t>
  </si>
  <si>
    <t>Oversize round hole</t>
  </si>
  <si>
    <t>Short slotted hole</t>
  </si>
  <si>
    <t>Long slotted hole</t>
  </si>
  <si>
    <t>Gross area (unthreaded part)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</si>
  <si>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</si>
  <si>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Stress area (threaded part)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</si>
  <si>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s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</si>
  <si>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Interaction between shear and tension</t>
  </si>
  <si>
    <t>S235 / any</t>
  </si>
  <si>
    <t>S275 / 4.6, 4.8</t>
  </si>
  <si>
    <t>S275 / ≥5.6</t>
  </si>
  <si>
    <t>S355 / 4.6, 4.8</t>
  </si>
  <si>
    <t>S355 / ≥5.6</t>
  </si>
  <si>
    <t>         S235         </t>
  </si>
  <si>
    <t>         S275         </t>
  </si>
  <si>
    <t>         S355         </t>
  </si>
  <si>
    <t>M5</t>
  </si>
  <si>
    <t>see chart</t>
  </si>
  <si>
    <t>M6</t>
  </si>
  <si>
    <t>M7</t>
  </si>
  <si>
    <t>M8</t>
  </si>
  <si>
    <t>M10</t>
  </si>
  <si>
    <t>M12</t>
  </si>
  <si>
    <t>16×13</t>
  </si>
  <si>
    <t>30.0×13</t>
  </si>
  <si>
    <t>M14</t>
  </si>
  <si>
    <t>18×15</t>
  </si>
  <si>
    <t>35.0×15</t>
  </si>
  <si>
    <t>M16</t>
  </si>
  <si>
    <t>22×18</t>
  </si>
  <si>
    <t>40.0×18</t>
  </si>
  <si>
    <t>M18</t>
  </si>
  <si>
    <t>24×20</t>
  </si>
  <si>
    <t>45.0×20</t>
  </si>
  <si>
    <t>M20</t>
  </si>
  <si>
    <t>26×22</t>
  </si>
  <si>
    <t>50.0×22</t>
  </si>
  <si>
    <t>M22</t>
  </si>
  <si>
    <t>28×24</t>
  </si>
  <si>
    <t>55.0×24</t>
  </si>
  <si>
    <t>M24</t>
  </si>
  <si>
    <t>32×26</t>
  </si>
  <si>
    <t>60.0×26</t>
  </si>
  <si>
    <t>37×30</t>
  </si>
  <si>
    <t>67.5×30</t>
  </si>
  <si>
    <t>M30</t>
  </si>
  <si>
    <t>40×33</t>
  </si>
  <si>
    <t>75.0×33</t>
  </si>
  <si>
    <t>M33</t>
  </si>
  <si>
    <t>43×36</t>
  </si>
  <si>
    <t>82.5×36</t>
  </si>
  <si>
    <t>M36</t>
  </si>
  <si>
    <t>46×39</t>
  </si>
  <si>
    <t>90.0×39</t>
  </si>
  <si>
    <t>M39</t>
  </si>
  <si>
    <t>49×42</t>
  </si>
  <si>
    <t>97.5×42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</si>
</sst>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  <xf numFmtId="0" fontId="3" fillId="0" borderId="0" xfId="1"/>
    <xf numFmtId="0" fontId="6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6" fillId="7" borderId="1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3" borderId="1" xfId="0" applyFill="1" applyBorder="1"/>
    <xf numFmtId="0" fontId="0" fillId="3" borderId="0" xfId="0" quotePrefix="1" applyFill="1"/>
    <xf numFmtId="0" fontId="2" fillId="3" borderId="0" xfId="0" applyFont="1" applyFill="1"/>
    <xf numFmtId="0" fontId="6" fillId="3" borderId="6" xfId="0" applyFont="1" applyFill="1" applyBorder="1"/>
    <xf numFmtId="0" fontId="2" fillId="3" borderId="5" xfId="0" applyFont="1" applyFill="1" applyBorder="1"/>
    <xf numFmtId="0" fontId="2" fillId="4" borderId="0" xfId="0" applyFont="1" applyFill="1"/>
    <xf numFmtId="0" fontId="2" fillId="4" borderId="5" xfId="0" applyFont="1" applyFill="1" applyBorder="1"/>
    <xf numFmtId="0" fontId="2" fillId="5" borderId="0" xfId="0" applyFont="1" applyFill="1"/>
    <xf numFmtId="0" fontId="2" fillId="5" borderId="5" xfId="0" applyFont="1" applyFill="1" applyBorder="1"/>
    <xf numFmtId="0" fontId="5" fillId="6" borderId="0" xfId="0" applyFont="1" applyFill="1"/>
    <xf numFmtId="0" fontId="5" fillId="6" borderId="5" xfId="0" applyFont="1" applyFill="1" applyBorder="1"/>
    <xf numFmtId="0" fontId="5" fillId="7" borderId="7" xfId="0" applyFont="1" applyFill="1" applyBorder="1"/>
    <xf numFmtId="0" fontId="2" fillId="3" borderId="7" xfId="0" applyFont="1" applyFill="1" applyBorder="1" applyAlignment="1">
      <alignment horizontal="left"/>
    </xf>
    <xf numFmtId="164" fontId="0" fillId="7" borderId="0" xfId="0" applyNumberFormat="1" applyFill="1"/>
    <xf numFmtId="164" fontId="5" fillId="7" borderId="7" xfId="0" applyNumberFormat="1" applyFont="1" applyFill="1" applyBorder="1"/>
    <xf numFmtId="0" fontId="0" fillId="8" borderId="0" xfId="0" applyFill="1"/>
    <xf numFmtId="0" fontId="0" fillId="8" borderId="7" xfId="0" applyFill="1" applyBorder="1"/>
    <xf numFmtId="0" fontId="2" fillId="8" borderId="0" xfId="0" applyFont="1" applyFill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0" borderId="9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Sheet1!$S$22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9A6013D-D095-475B-83C0-A4DD87520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A3-4046-B589-1D2C61BAA6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3D1D0F-9ADC-4EF7-B2BF-FC06512101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5A3-4046-B589-1D2C61BAA6A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663B93-E7AF-442E-B098-E4FE6CD16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5A3-4046-B589-1D2C61BAA6A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681878-EB81-4F74-A790-D5D775BC9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A3-4046-B589-1D2C61BAA6A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34F9CF-1FC3-462B-B8F4-9A2E61832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A3-4046-B589-1D2C61BAA6A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EA85B6-B6D8-4DF8-9DDB-00AABD612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A3-4046-B589-1D2C61BAA6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Sheet1!$T$22:$Y$22</c:f>
              <c:numCache>
                <c:formatCode>General</c:formatCode>
                <c:ptCount val="6"/>
                <c:pt idx="0">
                  <c:v>3.8694563976633005E-2</c:v>
                </c:pt>
                <c:pt idx="1">
                  <c:v>0.10721928116533079</c:v>
                </c:pt>
                <c:pt idx="2">
                  <c:v>0.12874169857938098</c:v>
                </c:pt>
                <c:pt idx="3">
                  <c:v>0.12322737575534909</c:v>
                </c:pt>
                <c:pt idx="4">
                  <c:v>0.13115639005197122</c:v>
                </c:pt>
                <c:pt idx="5">
                  <c:v>0.13091751476365537</c:v>
                </c:pt>
              </c:numCache>
            </c:numRef>
          </c:xVal>
          <c:yVal>
            <c:numRef>
              <c:f>Sheet1!$T$21:$Y$21</c:f>
              <c:numCache>
                <c:formatCode>General</c:formatCode>
                <c:ptCount val="6"/>
                <c:pt idx="0">
                  <c:v>0.24868070204649695</c:v>
                </c:pt>
                <c:pt idx="1">
                  <c:v>0.24868070204649567</c:v>
                </c:pt>
                <c:pt idx="2">
                  <c:v>0</c:v>
                </c:pt>
                <c:pt idx="3">
                  <c:v>0.72240180732896464</c:v>
                </c:pt>
                <c:pt idx="4">
                  <c:v>0</c:v>
                </c:pt>
                <c:pt idx="5">
                  <c:v>0.49999999999999961</c:v>
                </c:pt>
              </c:numCache>
            </c:numRef>
          </c:yVal>
          <c:bubbleSize>
            <c:numRef>
              <c:f>Sheet1!$T$23:$Y$23</c:f>
              <c:numCache>
                <c:formatCode>General</c:formatCode>
                <c:ptCount val="6"/>
                <c:pt idx="0">
                  <c:v>0.20426526091416911</c:v>
                </c:pt>
                <c:pt idx="1">
                  <c:v>2.5781582055896469E-2</c:v>
                </c:pt>
                <c:pt idx="2">
                  <c:v>1.0653777016962639E-2</c:v>
                </c:pt>
                <c:pt idx="3">
                  <c:v>0.17555059306192863</c:v>
                </c:pt>
                <c:pt idx="4">
                  <c:v>1.9417475728155338E-2</c:v>
                </c:pt>
                <c:pt idx="5">
                  <c:v>0.27139791444438571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Sheet1!$T$20:$Y$20</c15:f>
                <c15:dlblRangeCache>
                  <c:ptCount val="6"/>
                  <c:pt idx="0">
                    <c:v>E1</c:v>
                  </c:pt>
                  <c:pt idx="1">
                    <c:v>E2</c:v>
                  </c:pt>
                  <c:pt idx="2">
                    <c:v>E3</c:v>
                  </c:pt>
                  <c:pt idx="3">
                    <c:v>E4</c:v>
                  </c:pt>
                  <c:pt idx="4">
                    <c:v>E5</c:v>
                  </c:pt>
                  <c:pt idx="5">
                    <c:v>E6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5A3-4046-B589-1D2C61BAA6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1464400"/>
        <c:axId val="91466800"/>
      </c:bubbleChart>
      <c:valAx>
        <c:axId val="9146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6800"/>
        <c:crosses val="autoZero"/>
        <c:crossBetween val="midCat"/>
      </c:valAx>
      <c:valAx>
        <c:axId val="91466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146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161925</xdr:rowOff>
    </xdr:from>
    <xdr:to>
      <xdr:col>9</xdr:col>
      <xdr:colOff>38100</xdr:colOff>
      <xdr:row>13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A51EFD-A48F-CCEF-D984-3FDC8EEFE2BE}"/>
            </a:ext>
          </a:extLst>
        </xdr:cNvPr>
        <xdr:cNvSpPr/>
      </xdr:nvSpPr>
      <xdr:spPr>
        <a:xfrm>
          <a:off x="5267325" y="2257425"/>
          <a:ext cx="12573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</xdr:colOff>
      <xdr:row>17</xdr:row>
      <xdr:rowOff>19050</xdr:rowOff>
    </xdr:from>
    <xdr:to>
      <xdr:col>9</xdr:col>
      <xdr:colOff>47625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AFCB1AF-36BC-5E78-D464-E5A4CE155509}"/>
            </a:ext>
          </a:extLst>
        </xdr:cNvPr>
        <xdr:cNvSpPr/>
      </xdr:nvSpPr>
      <xdr:spPr>
        <a:xfrm>
          <a:off x="5276850" y="3257550"/>
          <a:ext cx="12573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390525</xdr:colOff>
      <xdr:row>13</xdr:row>
      <xdr:rowOff>133350</xdr:rowOff>
    </xdr:from>
    <xdr:to>
      <xdr:col>8</xdr:col>
      <xdr:colOff>209550</xdr:colOff>
      <xdr:row>17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64A8F7-29EE-3B58-AD35-AEE1297E3BB7}"/>
            </a:ext>
          </a:extLst>
        </xdr:cNvPr>
        <xdr:cNvSpPr/>
      </xdr:nvSpPr>
      <xdr:spPr>
        <a:xfrm>
          <a:off x="5657850" y="2609850"/>
          <a:ext cx="428625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11</xdr:row>
      <xdr:rowOff>161925</xdr:rowOff>
    </xdr:from>
    <xdr:to>
      <xdr:col>6</xdr:col>
      <xdr:colOff>123825</xdr:colOff>
      <xdr:row>18</xdr:row>
      <xdr:rowOff>161925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B17ED38-D87F-6ED1-8D5B-99DF9BA2127B}"/>
            </a:ext>
          </a:extLst>
        </xdr:cNvPr>
        <xdr:cNvCxnSpPr/>
      </xdr:nvCxnSpPr>
      <xdr:spPr>
        <a:xfrm>
          <a:off x="4772025" y="2257425"/>
          <a:ext cx="9525" cy="1333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10</xdr:row>
      <xdr:rowOff>66675</xdr:rowOff>
    </xdr:from>
    <xdr:to>
      <xdr:col>9</xdr:col>
      <xdr:colOff>28575</xdr:colOff>
      <xdr:row>10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7603904-7DC2-9E1C-2554-A73A3017A731}"/>
            </a:ext>
          </a:extLst>
        </xdr:cNvPr>
        <xdr:cNvCxnSpPr/>
      </xdr:nvCxnSpPr>
      <xdr:spPr>
        <a:xfrm flipV="1">
          <a:off x="5286375" y="1971675"/>
          <a:ext cx="122872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15</xdr:row>
      <xdr:rowOff>66675</xdr:rowOff>
    </xdr:from>
    <xdr:to>
      <xdr:col>8</xdr:col>
      <xdr:colOff>209550</xdr:colOff>
      <xdr:row>15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83A5BB5-5259-0051-B64B-CA7B7493C1B8}"/>
            </a:ext>
          </a:extLst>
        </xdr:cNvPr>
        <xdr:cNvCxnSpPr>
          <a:endCxn id="4" idx="3"/>
        </xdr:cNvCxnSpPr>
      </xdr:nvCxnSpPr>
      <xdr:spPr>
        <a:xfrm>
          <a:off x="5667375" y="2924175"/>
          <a:ext cx="419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15</xdr:row>
      <xdr:rowOff>114300</xdr:rowOff>
    </xdr:from>
    <xdr:to>
      <xdr:col>8</xdr:col>
      <xdr:colOff>171451</xdr:colOff>
      <xdr:row>17</xdr:row>
      <xdr:rowOff>28575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4494E9-521F-47E5-3EF4-00F944AEC0FF}"/>
            </a:ext>
          </a:extLst>
        </xdr:cNvPr>
        <xdr:cNvSpPr txBox="1"/>
      </xdr:nvSpPr>
      <xdr:spPr>
        <a:xfrm>
          <a:off x="5753100" y="2971800"/>
          <a:ext cx="295276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</a:t>
          </a:r>
        </a:p>
      </xdr:txBody>
    </xdr:sp>
    <xdr:clientData/>
  </xdr:twoCellAnchor>
  <xdr:twoCellAnchor>
    <xdr:from>
      <xdr:col>9</xdr:col>
      <xdr:colOff>171450</xdr:colOff>
      <xdr:row>13</xdr:row>
      <xdr:rowOff>152400</xdr:rowOff>
    </xdr:from>
    <xdr:to>
      <xdr:col>9</xdr:col>
      <xdr:colOff>176076</xdr:colOff>
      <xdr:row>17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CD1CB80-1F3D-2294-498F-B7D2E9045F7D}"/>
            </a:ext>
          </a:extLst>
        </xdr:cNvPr>
        <xdr:cNvCxnSpPr/>
      </xdr:nvCxnSpPr>
      <xdr:spPr>
        <a:xfrm>
          <a:off x="6657975" y="2628900"/>
          <a:ext cx="4626" cy="647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18</xdr:row>
      <xdr:rowOff>0</xdr:rowOff>
    </xdr:from>
    <xdr:to>
      <xdr:col>9</xdr:col>
      <xdr:colOff>38100</xdr:colOff>
      <xdr:row>18</xdr:row>
      <xdr:rowOff>9525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EAF4A59-6D95-651B-E6C0-DB6270776EFD}"/>
            </a:ext>
          </a:extLst>
        </xdr:cNvPr>
        <xdr:cNvCxnSpPr/>
      </xdr:nvCxnSpPr>
      <xdr:spPr>
        <a:xfrm>
          <a:off x="5800725" y="3429000"/>
          <a:ext cx="419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7</xdr:row>
      <xdr:rowOff>95250</xdr:rowOff>
    </xdr:from>
    <xdr:to>
      <xdr:col>8</xdr:col>
      <xdr:colOff>9525</xdr:colOff>
      <xdr:row>22</xdr:row>
      <xdr:rowOff>76200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2EC1783-C413-4BDE-AB92-05317C28FFE5}"/>
            </a:ext>
          </a:extLst>
        </xdr:cNvPr>
        <xdr:cNvCxnSpPr/>
      </xdr:nvCxnSpPr>
      <xdr:spPr>
        <a:xfrm>
          <a:off x="5829300" y="1428750"/>
          <a:ext cx="0" cy="283845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15</xdr:row>
      <xdr:rowOff>19050</xdr:rowOff>
    </xdr:from>
    <xdr:to>
      <xdr:col>10</xdr:col>
      <xdr:colOff>85725</xdr:colOff>
      <xdr:row>15</xdr:row>
      <xdr:rowOff>28575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2D27AE3-41BA-866A-E3BD-718446B0F44C}"/>
            </a:ext>
          </a:extLst>
        </xdr:cNvPr>
        <xdr:cNvCxnSpPr/>
      </xdr:nvCxnSpPr>
      <xdr:spPr>
        <a:xfrm>
          <a:off x="4438650" y="2876550"/>
          <a:ext cx="2686050" cy="952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616324</xdr:colOff>
      <xdr:row>27</xdr:row>
      <xdr:rowOff>56029</xdr:rowOff>
    </xdr:from>
    <xdr:to>
      <xdr:col>21</xdr:col>
      <xdr:colOff>100852</xdr:colOff>
      <xdr:row>49</xdr:row>
      <xdr:rowOff>112058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CB0515-31AD-DA0C-615D-B7B2634AB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44F5-937E-4098-9A76-1EFB467D6E7A}">
  <dimension ref="A1:Y167"/>
  <sheetViews>
    <sheetView tabSelected="1" topLeftCell="A111" zoomScale="68" zoomScaleNormal="115" workbookViewId="0">
      <selection activeCell="C129" sqref="C129"/>
    </sheetView>
  </sheetViews>
  <sheetFormatPr defaultRowHeight="15" x14ac:dyDescent="0.25"/>
  <cols>
    <col min="1" max="1" width="39.7109375" customWidth="1"/>
    <col min="2" max="2" width="31.28515625" customWidth="1"/>
    <col min="3" max="3" width="12.5703125" customWidth="1"/>
    <col min="4" max="4" width="9" bestFit="1" customWidth="1"/>
    <col min="5" max="5" width="12.5703125" bestFit="1" customWidth="1"/>
    <col min="6" max="6" width="14.85546875" customWidth="1"/>
    <col min="7" max="7" width="11" customWidth="1"/>
    <col min="8" max="10" width="9" bestFit="1" customWidth="1"/>
    <col min="11" max="11" width="13.7109375" bestFit="1" customWidth="1"/>
    <col min="13" max="13" width="9" bestFit="1" customWidth="1"/>
    <col min="14" max="14" width="13" customWidth="1"/>
    <col min="15" max="16" width="9" bestFit="1" customWidth="1"/>
    <col min="17" max="17" width="12.28515625" customWidth="1"/>
    <col min="20" max="25" width="9" bestFit="1" customWidth="1"/>
  </cols>
  <sheetData>
    <row r="1" spans="1:25" x14ac:dyDescent="0.25">
      <c r="A1" t="s">
        <v>0</v>
      </c>
    </row>
    <row r="3" spans="1:25" ht="15.75" thickBot="1" x14ac:dyDescent="0.3"/>
    <row r="4" spans="1:25" ht="15.75" thickBot="1" x14ac:dyDescent="0.3">
      <c r="A4" t="s">
        <v>1</v>
      </c>
      <c r="B4" t="s">
        <v>2</v>
      </c>
      <c r="C4">
        <v>400</v>
      </c>
      <c r="D4" t="s">
        <v>3</v>
      </c>
      <c r="O4" s="69"/>
      <c r="P4" s="70" t="s">
        <v>120</v>
      </c>
      <c r="Q4" s="71" t="s">
        <v>173</v>
      </c>
      <c r="S4" s="69" t="s">
        <v>175</v>
      </c>
      <c r="T4" s="70"/>
      <c r="U4" s="70"/>
      <c r="V4" s="71"/>
    </row>
    <row r="5" spans="1:25" x14ac:dyDescent="0.25">
      <c r="A5" t="s">
        <v>4</v>
      </c>
      <c r="B5" t="s">
        <v>5</v>
      </c>
      <c r="C5">
        <v>120</v>
      </c>
      <c r="D5" t="s">
        <v>3</v>
      </c>
      <c r="L5" s="69"/>
      <c r="M5" s="77" t="s">
        <v>164</v>
      </c>
      <c r="O5" s="78" t="s">
        <v>163</v>
      </c>
      <c r="P5">
        <f>(B167-E167)/E167</f>
        <v>0.12750832048938654</v>
      </c>
      <c r="Q5" s="73">
        <f>(B166-E166)/E166</f>
        <v>0.12750832048938651</v>
      </c>
      <c r="S5" s="72" t="s">
        <v>12</v>
      </c>
      <c r="T5">
        <v>2000</v>
      </c>
      <c r="U5">
        <v>2243</v>
      </c>
      <c r="V5" s="73">
        <f>(U5-T5)/T5</f>
        <v>0.1215</v>
      </c>
    </row>
    <row r="6" spans="1:25" ht="15.75" thickBot="1" x14ac:dyDescent="0.3">
      <c r="A6" t="s">
        <v>6</v>
      </c>
      <c r="B6" t="s">
        <v>7</v>
      </c>
      <c r="C6">
        <v>25</v>
      </c>
      <c r="D6" t="s">
        <v>12</v>
      </c>
      <c r="K6">
        <f>$I$58</f>
        <v>0.20426526091416911</v>
      </c>
      <c r="L6" s="72" t="str">
        <f>$J$58</f>
        <v>E1</v>
      </c>
      <c r="M6" s="73">
        <v>0.20426526091416911</v>
      </c>
      <c r="O6" s="72" t="s">
        <v>155</v>
      </c>
      <c r="P6">
        <v>3.8694563976633005E-2</v>
      </c>
      <c r="Q6" s="73">
        <v>3.8694563976632637E-2</v>
      </c>
      <c r="S6" s="74" t="s">
        <v>37</v>
      </c>
      <c r="T6" s="75">
        <v>3</v>
      </c>
      <c r="U6" s="75">
        <v>3.0640000000000001</v>
      </c>
      <c r="V6" s="76">
        <f t="shared" ref="V6" si="0">(U6-T6)/T6</f>
        <v>2.1333333333333353E-2</v>
      </c>
    </row>
    <row r="7" spans="1:25" x14ac:dyDescent="0.25">
      <c r="A7" t="s">
        <v>8</v>
      </c>
      <c r="B7" t="s">
        <v>9</v>
      </c>
      <c r="C7">
        <v>160</v>
      </c>
      <c r="D7" t="s">
        <v>3</v>
      </c>
      <c r="K7">
        <f>$I$96</f>
        <v>2.5781582055896469E-2</v>
      </c>
      <c r="L7" s="72" t="str">
        <f>$J$96</f>
        <v>E2</v>
      </c>
      <c r="M7" s="73">
        <v>2.5781582055896469E-2</v>
      </c>
      <c r="O7" s="72" t="s">
        <v>156</v>
      </c>
      <c r="P7">
        <v>0.10721928116533079</v>
      </c>
      <c r="Q7" s="73">
        <v>0.10721928116533024</v>
      </c>
    </row>
    <row r="8" spans="1:25" x14ac:dyDescent="0.25">
      <c r="A8" t="s">
        <v>10</v>
      </c>
      <c r="B8" t="s">
        <v>12</v>
      </c>
      <c r="C8" s="3">
        <v>2000</v>
      </c>
      <c r="D8" t="s">
        <v>11</v>
      </c>
      <c r="E8">
        <v>2000</v>
      </c>
      <c r="K8">
        <f>$I$112</f>
        <v>3.7249929043724817E-2</v>
      </c>
      <c r="L8" s="72" t="str">
        <f>$J$112</f>
        <v>E3</v>
      </c>
      <c r="M8" s="73">
        <v>1.0653777016962639E-2</v>
      </c>
      <c r="O8" s="72" t="s">
        <v>158</v>
      </c>
      <c r="P8">
        <v>0.12874169857938098</v>
      </c>
      <c r="Q8" s="73">
        <v>0.12874169857938089</v>
      </c>
    </row>
    <row r="9" spans="1:25" x14ac:dyDescent="0.25">
      <c r="A9" t="s">
        <v>13</v>
      </c>
      <c r="B9" t="s">
        <v>14</v>
      </c>
      <c r="C9">
        <v>50</v>
      </c>
      <c r="D9" t="s">
        <v>15</v>
      </c>
      <c r="E9">
        <v>50</v>
      </c>
      <c r="K9">
        <f>$I$125</f>
        <v>0.17555059306192863</v>
      </c>
      <c r="L9" s="72" t="str">
        <f>$J$125</f>
        <v>E4</v>
      </c>
      <c r="M9" s="73">
        <v>0.17555059306192863</v>
      </c>
      <c r="O9" s="72" t="s">
        <v>159</v>
      </c>
      <c r="P9">
        <v>0.12322737575534909</v>
      </c>
      <c r="Q9" s="73">
        <v>0.12322737575534866</v>
      </c>
    </row>
    <row r="10" spans="1:25" x14ac:dyDescent="0.25">
      <c r="A10" t="s">
        <v>16</v>
      </c>
      <c r="B10" t="s">
        <v>17</v>
      </c>
      <c r="C10">
        <v>6</v>
      </c>
      <c r="E10">
        <v>6</v>
      </c>
      <c r="H10" s="1" t="s">
        <v>18</v>
      </c>
      <c r="I10">
        <f>C24</f>
        <v>4</v>
      </c>
      <c r="J10" t="s">
        <v>24</v>
      </c>
      <c r="K10">
        <f>$I$138</f>
        <v>1.9417475728155338E-2</v>
      </c>
      <c r="L10" s="72" t="str">
        <f>$J$138</f>
        <v>E5</v>
      </c>
      <c r="M10" s="73">
        <v>1.9417475728155338E-2</v>
      </c>
      <c r="O10" s="72" t="s">
        <v>161</v>
      </c>
      <c r="P10">
        <v>0.13115639005197122</v>
      </c>
      <c r="Q10" s="73">
        <v>0.13115639005197086</v>
      </c>
    </row>
    <row r="11" spans="1:25" ht="15.75" thickBot="1" x14ac:dyDescent="0.3">
      <c r="A11" t="s">
        <v>33</v>
      </c>
      <c r="B11" t="s">
        <v>35</v>
      </c>
      <c r="C11">
        <v>316</v>
      </c>
      <c r="D11" t="s">
        <v>34</v>
      </c>
      <c r="K11">
        <f>$I$141</f>
        <v>0.27139791444438571</v>
      </c>
      <c r="L11" s="74" t="str">
        <f>$J$141</f>
        <v>E6</v>
      </c>
      <c r="M11" s="76">
        <v>0.27139791444438571</v>
      </c>
      <c r="O11" s="74" t="s">
        <v>162</v>
      </c>
      <c r="P11" s="75">
        <v>0.13091751476365537</v>
      </c>
      <c r="Q11" s="76">
        <v>0.13091751476365501</v>
      </c>
    </row>
    <row r="12" spans="1:25" x14ac:dyDescent="0.25">
      <c r="A12" t="s">
        <v>38</v>
      </c>
      <c r="B12" t="s">
        <v>37</v>
      </c>
      <c r="C12" s="3">
        <v>3</v>
      </c>
      <c r="E12">
        <v>3</v>
      </c>
    </row>
    <row r="13" spans="1:25" x14ac:dyDescent="0.25">
      <c r="A13" t="s">
        <v>40</v>
      </c>
      <c r="B13" t="s">
        <v>39</v>
      </c>
      <c r="C13">
        <f>4/25000</f>
        <v>1.6000000000000001E-4</v>
      </c>
    </row>
    <row r="14" spans="1:25" x14ac:dyDescent="0.25">
      <c r="A14" t="s">
        <v>46</v>
      </c>
      <c r="C14">
        <v>5</v>
      </c>
      <c r="Q14" s="79"/>
      <c r="T14" t="s">
        <v>155</v>
      </c>
      <c r="U14" t="s">
        <v>156</v>
      </c>
      <c r="V14" t="s">
        <v>158</v>
      </c>
      <c r="W14" t="s">
        <v>159</v>
      </c>
      <c r="X14" t="s">
        <v>161</v>
      </c>
      <c r="Y14" t="s">
        <v>162</v>
      </c>
    </row>
    <row r="15" spans="1:25" x14ac:dyDescent="0.25">
      <c r="A15" t="s">
        <v>72</v>
      </c>
      <c r="B15" t="s">
        <v>71</v>
      </c>
      <c r="C15">
        <v>7820</v>
      </c>
      <c r="D15" t="s">
        <v>115</v>
      </c>
      <c r="F15" s="1" t="s">
        <v>23</v>
      </c>
      <c r="G15">
        <f>C25</f>
        <v>5</v>
      </c>
      <c r="H15" t="s">
        <v>24</v>
      </c>
      <c r="O15">
        <f>(C58-E58)/E58</f>
        <v>0</v>
      </c>
      <c r="P15" t="str">
        <f>$J$58</f>
        <v>E1</v>
      </c>
      <c r="S15" t="s">
        <v>12</v>
      </c>
      <c r="T15">
        <f>O15/$V$5</f>
        <v>0</v>
      </c>
      <c r="U15">
        <f>O16/$V$5</f>
        <v>0</v>
      </c>
      <c r="V15">
        <f>O17/$V$5</f>
        <v>0</v>
      </c>
      <c r="W15">
        <f>O18/$V$5</f>
        <v>0</v>
      </c>
      <c r="X15">
        <f>O19/$V$5</f>
        <v>0</v>
      </c>
      <c r="Y15">
        <f>O20/$V$5</f>
        <v>0</v>
      </c>
    </row>
    <row r="16" spans="1:25" x14ac:dyDescent="0.25">
      <c r="A16" t="s">
        <v>105</v>
      </c>
      <c r="C16">
        <v>500</v>
      </c>
      <c r="F16" t="s">
        <v>30</v>
      </c>
      <c r="J16" t="s">
        <v>22</v>
      </c>
      <c r="K16">
        <f>G15-2</f>
        <v>3</v>
      </c>
      <c r="L16" t="s">
        <v>24</v>
      </c>
      <c r="O16">
        <f>(C96-F96)/F96</f>
        <v>0</v>
      </c>
      <c r="P16" t="str">
        <f>$J$96</f>
        <v>E2</v>
      </c>
      <c r="S16" t="s">
        <v>37</v>
      </c>
      <c r="T16">
        <f>O16/$V$6</f>
        <v>0</v>
      </c>
      <c r="U16">
        <f>O17/$V$6</f>
        <v>0</v>
      </c>
      <c r="V16">
        <f>O18/$V$6</f>
        <v>0</v>
      </c>
      <c r="W16">
        <f>O19/$V$6</f>
        <v>0</v>
      </c>
      <c r="X16">
        <f>O20/$V$6</f>
        <v>0</v>
      </c>
      <c r="Y16">
        <f>O21/$V$6</f>
        <v>0</v>
      </c>
    </row>
    <row r="17" spans="1:25" ht="15.75" thickBot="1" x14ac:dyDescent="0.3">
      <c r="O17">
        <f>(C108-F108)/F108</f>
        <v>0</v>
      </c>
      <c r="P17" t="str">
        <f>$J$112</f>
        <v>E3</v>
      </c>
    </row>
    <row r="18" spans="1:25" x14ac:dyDescent="0.25">
      <c r="O18">
        <f>(C125-F125)/F125</f>
        <v>0</v>
      </c>
      <c r="P18" t="str">
        <f>$J$125</f>
        <v>E4</v>
      </c>
      <c r="R18" t="s">
        <v>177</v>
      </c>
      <c r="S18" s="69" t="s">
        <v>12</v>
      </c>
      <c r="T18" s="70">
        <v>0</v>
      </c>
      <c r="U18" s="70">
        <v>0</v>
      </c>
      <c r="V18" s="70">
        <v>0</v>
      </c>
      <c r="W18" s="70">
        <v>1.4448036146579293</v>
      </c>
      <c r="X18" s="70">
        <v>0</v>
      </c>
      <c r="Y18" s="71">
        <v>0.99999999999999922</v>
      </c>
    </row>
    <row r="19" spans="1:25" ht="15.75" thickBot="1" x14ac:dyDescent="0.3">
      <c r="J19" s="1" t="s">
        <v>25</v>
      </c>
      <c r="K19">
        <f>(I10-1)/2</f>
        <v>1.5</v>
      </c>
      <c r="L19" t="s">
        <v>24</v>
      </c>
      <c r="O19">
        <f>(C136-F136)/F136</f>
        <v>0</v>
      </c>
      <c r="P19" t="str">
        <f>$J$138</f>
        <v>E5</v>
      </c>
      <c r="S19" s="74" t="s">
        <v>37</v>
      </c>
      <c r="T19" s="75">
        <v>0.4973614040929939</v>
      </c>
      <c r="U19" s="75">
        <v>0.49736140409299134</v>
      </c>
      <c r="V19" s="75">
        <v>0</v>
      </c>
      <c r="W19" s="75">
        <v>0</v>
      </c>
      <c r="X19" s="75">
        <v>0</v>
      </c>
      <c r="Y19" s="76">
        <v>0</v>
      </c>
    </row>
    <row r="20" spans="1:25" x14ac:dyDescent="0.25">
      <c r="O20">
        <f>(C140-F137)/F137</f>
        <v>0</v>
      </c>
      <c r="P20" t="str">
        <f>$J$141</f>
        <v>E6</v>
      </c>
      <c r="T20" t="s">
        <v>155</v>
      </c>
      <c r="U20" t="s">
        <v>156</v>
      </c>
      <c r="V20" t="s">
        <v>158</v>
      </c>
      <c r="W20" t="s">
        <v>159</v>
      </c>
      <c r="X20" t="s">
        <v>161</v>
      </c>
      <c r="Y20" t="s">
        <v>162</v>
      </c>
    </row>
    <row r="21" spans="1:25" x14ac:dyDescent="0.25">
      <c r="S21" s="80" t="s">
        <v>176</v>
      </c>
      <c r="T21" s="80">
        <f>(T18+T19)/2</f>
        <v>0.24868070204649695</v>
      </c>
      <c r="U21" s="80">
        <f t="shared" ref="U21:Y21" si="1">(U18+U19)/2</f>
        <v>0.24868070204649567</v>
      </c>
      <c r="V21" s="80">
        <f t="shared" si="1"/>
        <v>0</v>
      </c>
      <c r="W21" s="80">
        <f t="shared" si="1"/>
        <v>0.72240180732896464</v>
      </c>
      <c r="X21" s="80">
        <f t="shared" si="1"/>
        <v>0</v>
      </c>
      <c r="Y21" s="80">
        <f t="shared" si="1"/>
        <v>0.49999999999999961</v>
      </c>
    </row>
    <row r="22" spans="1:25" x14ac:dyDescent="0.25">
      <c r="I22" t="s">
        <v>27</v>
      </c>
      <c r="S22" s="80" t="s">
        <v>163</v>
      </c>
      <c r="T22" s="80">
        <v>3.8694563976633005E-2</v>
      </c>
      <c r="U22" s="80">
        <v>0.10721928116533079</v>
      </c>
      <c r="V22" s="80">
        <v>0.12874169857938098</v>
      </c>
      <c r="W22" s="80">
        <v>0.12322737575534909</v>
      </c>
      <c r="X22" s="80">
        <v>0.13115639005197122</v>
      </c>
      <c r="Y22" s="80">
        <v>0.13091751476365537</v>
      </c>
    </row>
    <row r="23" spans="1:25" x14ac:dyDescent="0.25">
      <c r="N23" s="68">
        <f>B166</f>
        <v>10.548868479529267</v>
      </c>
      <c r="O23" s="68" t="str">
        <f t="shared" ref="O23:R23" si="2">C166</f>
        <v>kg</v>
      </c>
      <c r="P23" s="68"/>
      <c r="Q23" s="68">
        <f t="shared" si="2"/>
        <v>9.3559118703005311</v>
      </c>
      <c r="R23" s="68" t="str">
        <f t="shared" si="2"/>
        <v>kg</v>
      </c>
      <c r="S23" s="80" t="s">
        <v>164</v>
      </c>
      <c r="T23" s="80">
        <v>0.20426526091416911</v>
      </c>
      <c r="U23" s="80">
        <v>2.5781582055896469E-2</v>
      </c>
      <c r="V23" s="80">
        <v>1.0653777016962639E-2</v>
      </c>
      <c r="W23" s="80">
        <v>0.17555059306192863</v>
      </c>
      <c r="X23" s="80">
        <v>1.9417475728155338E-2</v>
      </c>
      <c r="Y23" s="80">
        <v>0.27139791444438571</v>
      </c>
    </row>
    <row r="24" spans="1:25" x14ac:dyDescent="0.25">
      <c r="A24" t="s">
        <v>19</v>
      </c>
      <c r="C24" s="3">
        <v>4</v>
      </c>
      <c r="D24" t="s">
        <v>24</v>
      </c>
      <c r="N24" s="68">
        <f>B167</f>
        <v>1348960.1636226682</v>
      </c>
      <c r="O24" s="68" t="str">
        <f t="shared" ref="O24:R24" si="3">C167</f>
        <v>mm3</v>
      </c>
      <c r="P24" s="68"/>
      <c r="Q24" s="68">
        <f t="shared" si="3"/>
        <v>1196408.1675576125</v>
      </c>
      <c r="R24" s="68" t="str">
        <f t="shared" si="3"/>
        <v>mm3</v>
      </c>
    </row>
    <row r="25" spans="1:25" x14ac:dyDescent="0.25">
      <c r="A25" t="s">
        <v>20</v>
      </c>
      <c r="C25" s="3">
        <v>5</v>
      </c>
      <c r="D25" t="s">
        <v>24</v>
      </c>
    </row>
    <row r="27" spans="1:25" x14ac:dyDescent="0.25">
      <c r="A27" t="s">
        <v>21</v>
      </c>
      <c r="C27">
        <f>(2*I10)+(K16)</f>
        <v>11</v>
      </c>
      <c r="D27" t="s">
        <v>26</v>
      </c>
      <c r="F27" t="s">
        <v>122</v>
      </c>
    </row>
    <row r="28" spans="1:25" x14ac:dyDescent="0.25">
      <c r="A28" t="s">
        <v>27</v>
      </c>
      <c r="B28" t="s">
        <v>28</v>
      </c>
      <c r="C28">
        <f>((C24*C25^3)-(2*K19*K16^3))/12</f>
        <v>34.916666666666664</v>
      </c>
      <c r="D28" t="s">
        <v>29</v>
      </c>
      <c r="F28" t="s">
        <v>123</v>
      </c>
    </row>
    <row r="29" spans="1:25" x14ac:dyDescent="0.25">
      <c r="A29" t="s">
        <v>30</v>
      </c>
      <c r="B29" t="s">
        <v>31</v>
      </c>
      <c r="C29">
        <f>(((C25-K16)*C24^3)+(K16*1^3))/12</f>
        <v>10.916666666666666</v>
      </c>
      <c r="D29" t="s">
        <v>29</v>
      </c>
      <c r="F29" t="s">
        <v>124</v>
      </c>
    </row>
    <row r="32" spans="1:25" x14ac:dyDescent="0.25">
      <c r="A32" t="s">
        <v>32</v>
      </c>
      <c r="C32">
        <f>C28/C29</f>
        <v>3.1984732824427482</v>
      </c>
      <c r="D32" t="str">
        <f>IF(C32&lt;4,"OK", "Check!")</f>
        <v>OK</v>
      </c>
      <c r="F32" t="s">
        <v>125</v>
      </c>
    </row>
    <row r="34" spans="1:11" ht="15.75" thickBot="1" x14ac:dyDescent="0.3"/>
    <row r="35" spans="1:11" x14ac:dyDescent="0.25">
      <c r="A35" s="50" t="s">
        <v>139</v>
      </c>
      <c r="B35" s="6" t="s">
        <v>36</v>
      </c>
      <c r="C35" s="6">
        <f>PI()*C5^2*C12/4</f>
        <v>33929.200658769769</v>
      </c>
      <c r="D35" s="6" t="s">
        <v>12</v>
      </c>
      <c r="E35" s="6"/>
      <c r="F35" s="6" t="s">
        <v>126</v>
      </c>
      <c r="G35" s="6"/>
      <c r="H35" s="6"/>
      <c r="I35" s="6"/>
      <c r="J35" s="6"/>
      <c r="K35" s="7"/>
    </row>
    <row r="36" spans="1:11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10"/>
    </row>
    <row r="37" spans="1:11" x14ac:dyDescent="0.25">
      <c r="A37" s="8" t="s">
        <v>41</v>
      </c>
      <c r="B37" s="9" t="s">
        <v>42</v>
      </c>
      <c r="C37" s="9">
        <f>C28/C27</f>
        <v>3.1742424242424239</v>
      </c>
      <c r="D37" s="9" t="s">
        <v>26</v>
      </c>
      <c r="E37" s="9"/>
      <c r="F37" s="9" t="s">
        <v>127</v>
      </c>
      <c r="G37" s="9"/>
      <c r="H37" s="9"/>
      <c r="I37" s="9"/>
      <c r="J37" s="9"/>
      <c r="K37" s="10"/>
    </row>
    <row r="38" spans="1:11" x14ac:dyDescent="0.25">
      <c r="A38" s="8"/>
      <c r="B38" s="9"/>
      <c r="C38" s="9"/>
      <c r="D38" s="9"/>
      <c r="E38" s="9"/>
      <c r="F38" s="9"/>
      <c r="G38" s="9"/>
      <c r="H38" s="9"/>
      <c r="I38" s="9"/>
      <c r="J38" s="9"/>
      <c r="K38" s="10"/>
    </row>
    <row r="39" spans="1:11" x14ac:dyDescent="0.25">
      <c r="A39" s="8"/>
      <c r="B39" s="9"/>
      <c r="C39" s="9"/>
      <c r="D39" s="9"/>
      <c r="E39" s="9"/>
      <c r="F39" s="9"/>
      <c r="G39" s="9"/>
      <c r="H39" s="9"/>
      <c r="I39" s="9"/>
      <c r="J39" s="9"/>
      <c r="K39" s="10"/>
    </row>
    <row r="40" spans="1:11" x14ac:dyDescent="0.25">
      <c r="A40" s="8" t="s">
        <v>43</v>
      </c>
      <c r="B40" s="9" t="s">
        <v>44</v>
      </c>
      <c r="C40" s="9"/>
      <c r="D40" s="9" t="s">
        <v>45</v>
      </c>
      <c r="E40" s="9"/>
      <c r="F40" s="9" t="s">
        <v>47</v>
      </c>
      <c r="G40" s="9"/>
      <c r="H40" s="9"/>
      <c r="I40" s="9"/>
      <c r="J40" s="9"/>
      <c r="K40" s="10" t="s">
        <v>128</v>
      </c>
    </row>
    <row r="41" spans="1:11" x14ac:dyDescent="0.25">
      <c r="A41" s="8"/>
      <c r="B41" s="9">
        <f>C35</f>
        <v>33929.200658769769</v>
      </c>
      <c r="C41" s="9"/>
      <c r="D41" s="9">
        <f>(C11/C14)*C27</f>
        <v>695.2</v>
      </c>
      <c r="E41" s="9" t="s">
        <v>26</v>
      </c>
      <c r="F41" s="9">
        <v>1</v>
      </c>
      <c r="G41" s="51" t="s">
        <v>51</v>
      </c>
      <c r="H41" s="9">
        <f>((C13*(C4^2/C37)))</f>
        <v>8.0649164677804315</v>
      </c>
      <c r="I41" s="9" t="s">
        <v>29</v>
      </c>
      <c r="J41" s="9"/>
      <c r="K41" s="10"/>
    </row>
    <row r="42" spans="1:11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10"/>
    </row>
    <row r="43" spans="1:11" x14ac:dyDescent="0.25">
      <c r="A43" s="8"/>
      <c r="B43" s="9">
        <f>F41*B41</f>
        <v>33929.200658769769</v>
      </c>
      <c r="C43" s="51" t="s">
        <v>48</v>
      </c>
      <c r="D43" s="9">
        <f>B41*H41</f>
        <v>273636.16913153895</v>
      </c>
      <c r="E43" s="51" t="s">
        <v>52</v>
      </c>
      <c r="F43" s="51" t="s">
        <v>49</v>
      </c>
      <c r="G43" s="9">
        <f>D41</f>
        <v>695.2</v>
      </c>
      <c r="H43" s="9" t="str">
        <f>E41</f>
        <v>t2</v>
      </c>
      <c r="I43" s="9"/>
      <c r="J43" s="9"/>
      <c r="K43" s="10"/>
    </row>
    <row r="44" spans="1:11" x14ac:dyDescent="0.25">
      <c r="A44" s="8"/>
      <c r="B44" s="9"/>
      <c r="C44" s="9"/>
      <c r="D44" s="9"/>
      <c r="E44" s="9"/>
      <c r="F44" s="9"/>
      <c r="G44" s="9"/>
      <c r="H44" s="9"/>
      <c r="I44" s="9"/>
      <c r="J44" s="9"/>
      <c r="K44" s="10"/>
    </row>
    <row r="45" spans="1:11" x14ac:dyDescent="0.25">
      <c r="A45" s="8"/>
      <c r="B45" s="9">
        <f>B43</f>
        <v>33929.200658769769</v>
      </c>
      <c r="C45" s="51" t="s">
        <v>53</v>
      </c>
      <c r="D45" s="9">
        <f>D43</f>
        <v>273636.16913153895</v>
      </c>
      <c r="E45" s="51" t="s">
        <v>50</v>
      </c>
      <c r="F45" s="9">
        <f>G43</f>
        <v>695.2</v>
      </c>
      <c r="G45" s="51" t="s">
        <v>29</v>
      </c>
      <c r="H45" s="51" t="s">
        <v>54</v>
      </c>
      <c r="I45" s="51"/>
      <c r="J45" s="9"/>
      <c r="K45" s="10"/>
    </row>
    <row r="46" spans="1:11" x14ac:dyDescent="0.25">
      <c r="A46" s="8"/>
      <c r="B46" s="9"/>
      <c r="C46" s="9"/>
      <c r="D46" s="9"/>
      <c r="E46" s="9"/>
      <c r="F46" s="9"/>
      <c r="G46" s="9"/>
      <c r="H46" s="9"/>
      <c r="I46" s="9"/>
      <c r="J46" s="9"/>
      <c r="K46" s="10"/>
    </row>
    <row r="47" spans="1:11" x14ac:dyDescent="0.25">
      <c r="A47" s="8"/>
      <c r="B47" s="9">
        <f>F45</f>
        <v>695.2</v>
      </c>
      <c r="C47" s="9" t="s">
        <v>29</v>
      </c>
      <c r="D47" s="51" t="s">
        <v>50</v>
      </c>
      <c r="E47" s="9">
        <f>B45</f>
        <v>33929.200658769769</v>
      </c>
      <c r="F47" s="9" t="s">
        <v>26</v>
      </c>
      <c r="G47" s="51" t="s">
        <v>50</v>
      </c>
      <c r="H47" s="9">
        <f>D45</f>
        <v>273636.16913153895</v>
      </c>
      <c r="I47" s="51" t="s">
        <v>49</v>
      </c>
      <c r="J47" s="9">
        <v>0</v>
      </c>
      <c r="K47" s="10"/>
    </row>
    <row r="48" spans="1:11" x14ac:dyDescent="0.25">
      <c r="A48" s="8"/>
      <c r="B48" s="9">
        <f>B47/E47</f>
        <v>2.0489725266201044E-2</v>
      </c>
      <c r="C48" s="9"/>
      <c r="D48" s="9"/>
      <c r="E48" s="9">
        <f>-E47/E47</f>
        <v>-1</v>
      </c>
      <c r="F48" s="9"/>
      <c r="G48" s="9"/>
      <c r="H48" s="9">
        <f>-H47/E47</f>
        <v>-8.0649164677804315</v>
      </c>
      <c r="I48" s="9"/>
      <c r="J48" s="9"/>
      <c r="K48" s="10"/>
    </row>
    <row r="49" spans="1:11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10"/>
    </row>
    <row r="50" spans="1:11" x14ac:dyDescent="0.25">
      <c r="A50" s="8"/>
      <c r="B50" s="9"/>
      <c r="C50" s="9"/>
      <c r="D50" s="9"/>
      <c r="E50" s="9"/>
      <c r="F50" s="9"/>
      <c r="G50" s="9"/>
      <c r="H50" s="9"/>
      <c r="I50" s="9"/>
      <c r="J50" s="9"/>
      <c r="K50" s="10"/>
    </row>
    <row r="51" spans="1:11" x14ac:dyDescent="0.25">
      <c r="A51" s="8"/>
      <c r="B51" s="9" t="s">
        <v>55</v>
      </c>
      <c r="C51" s="9"/>
      <c r="D51" s="9"/>
      <c r="E51" s="9"/>
      <c r="F51" s="9"/>
      <c r="G51" s="9"/>
      <c r="H51" s="9"/>
      <c r="I51" s="9"/>
      <c r="J51" s="9"/>
      <c r="K51" s="10"/>
    </row>
    <row r="52" spans="1:11" x14ac:dyDescent="0.25">
      <c r="A52" s="8"/>
      <c r="B52" s="9" t="s">
        <v>56</v>
      </c>
      <c r="C52" s="9">
        <f>(-E48+SQRT((E48^2)-(4*B48*H48)))/(2*B48)</f>
        <v>55.852253658221343</v>
      </c>
      <c r="D52" s="9"/>
      <c r="E52" s="9"/>
      <c r="F52" s="9"/>
      <c r="G52" s="9"/>
      <c r="H52" s="9"/>
      <c r="I52" s="9"/>
      <c r="J52" s="9"/>
      <c r="K52" s="10"/>
    </row>
    <row r="53" spans="1:11" x14ac:dyDescent="0.25">
      <c r="A53" s="8"/>
      <c r="B53" s="9"/>
      <c r="C53" s="9">
        <f>(-E48+SQRT((E48^2)+(4*B48*H48)))/(2*B48)</f>
        <v>38.610673887377686</v>
      </c>
      <c r="D53" s="9"/>
      <c r="E53" s="9"/>
      <c r="F53" s="9"/>
      <c r="G53" s="9"/>
      <c r="H53" s="9"/>
      <c r="I53" s="9"/>
      <c r="J53" s="9"/>
      <c r="K53" s="10"/>
    </row>
    <row r="54" spans="1:11" x14ac:dyDescent="0.25">
      <c r="A54" s="8"/>
      <c r="B54" s="9"/>
      <c r="C54" s="9"/>
      <c r="D54" s="9"/>
      <c r="E54" s="9"/>
      <c r="F54" s="9"/>
      <c r="G54" s="9"/>
      <c r="H54" s="9"/>
      <c r="I54" s="9"/>
      <c r="J54" s="9"/>
      <c r="K54" s="10"/>
    </row>
    <row r="55" spans="1:11" x14ac:dyDescent="0.25">
      <c r="A55" s="8"/>
      <c r="B55" s="9" t="s">
        <v>24</v>
      </c>
      <c r="C55" s="9">
        <f>SQRT(C52)</f>
        <v>7.4734365360402535</v>
      </c>
      <c r="D55" s="9" t="s">
        <v>57</v>
      </c>
      <c r="E55" s="9">
        <f>-SQRT(C52)</f>
        <v>-7.4734365360402535</v>
      </c>
      <c r="F55" s="9"/>
      <c r="G55" s="9"/>
      <c r="H55" s="9"/>
      <c r="I55" s="9"/>
      <c r="J55" s="9"/>
      <c r="K55" s="10"/>
    </row>
    <row r="56" spans="1:11" x14ac:dyDescent="0.25">
      <c r="A56" s="8"/>
      <c r="B56" s="9"/>
      <c r="C56" s="9">
        <f>SQRT(C53)</f>
        <v>6.2137487789077603</v>
      </c>
      <c r="D56" s="9"/>
      <c r="E56" s="9">
        <f>-SQRT(C53)</f>
        <v>-6.2137487789077603</v>
      </c>
      <c r="F56" s="9"/>
      <c r="G56" s="9"/>
      <c r="H56" s="9"/>
      <c r="I56" s="9"/>
      <c r="J56" s="9"/>
      <c r="K56" s="10"/>
    </row>
    <row r="57" spans="1:11" x14ac:dyDescent="0.25">
      <c r="A57" s="8"/>
      <c r="B57" s="9"/>
      <c r="C57" s="9"/>
      <c r="D57" s="9"/>
      <c r="E57" s="9"/>
      <c r="F57" s="9"/>
      <c r="G57" s="9"/>
      <c r="H57" s="9"/>
      <c r="I57" s="9"/>
      <c r="J57" s="9"/>
      <c r="K57" s="10"/>
    </row>
    <row r="58" spans="1:11" x14ac:dyDescent="0.25">
      <c r="A58" s="8"/>
      <c r="B58" s="9"/>
      <c r="C58" s="9">
        <f>MAX(IF(ISNUMBER(C55), C55),IF(ISNUMBER(C56), C56),IF(ISNUMBER(E55), E55),IF(ISNUMBER(E56), E56))</f>
        <v>7.4734365360402535</v>
      </c>
      <c r="D58" s="9"/>
      <c r="E58" s="9">
        <v>7.4734365360402535</v>
      </c>
      <c r="F58" s="9"/>
      <c r="G58" s="9"/>
      <c r="H58" s="9"/>
      <c r="I58" s="52">
        <f>(C59-C58)/C58</f>
        <v>0.20426526091416911</v>
      </c>
      <c r="J58" s="52" t="s">
        <v>155</v>
      </c>
      <c r="K58" s="10"/>
    </row>
    <row r="59" spans="1:11" x14ac:dyDescent="0.25">
      <c r="A59" s="8"/>
      <c r="B59" s="9" t="s">
        <v>58</v>
      </c>
      <c r="C59" s="67">
        <f>G60</f>
        <v>9</v>
      </c>
      <c r="D59" s="9"/>
      <c r="E59" s="9"/>
      <c r="F59" s="9" t="s">
        <v>78</v>
      </c>
      <c r="G59" s="9" t="s">
        <v>129</v>
      </c>
      <c r="H59" s="9"/>
      <c r="I59" s="9"/>
      <c r="J59" s="9"/>
      <c r="K59" s="10"/>
    </row>
    <row r="60" spans="1:11" ht="19.5" thickBot="1" x14ac:dyDescent="0.35">
      <c r="A60" s="53" t="s">
        <v>157</v>
      </c>
      <c r="B60" s="12"/>
      <c r="C60" s="12"/>
      <c r="D60" s="12"/>
      <c r="E60" s="12"/>
      <c r="F60" s="12" t="s">
        <v>165</v>
      </c>
      <c r="G60" s="62">
        <v>9</v>
      </c>
      <c r="H60" s="12"/>
      <c r="I60" s="12"/>
      <c r="J60" s="12"/>
      <c r="K60" s="13"/>
    </row>
    <row r="61" spans="1:11" x14ac:dyDescent="0.25">
      <c r="C61" t="s">
        <v>150</v>
      </c>
      <c r="F61" t="s">
        <v>166</v>
      </c>
    </row>
    <row r="62" spans="1:11" x14ac:dyDescent="0.25">
      <c r="B62" t="s">
        <v>23</v>
      </c>
      <c r="C62">
        <f>C25*C59</f>
        <v>45</v>
      </c>
      <c r="D62" t="s">
        <v>3</v>
      </c>
      <c r="E62" t="s">
        <v>133</v>
      </c>
      <c r="F62">
        <f>C25*C58</f>
        <v>37.367182680201267</v>
      </c>
      <c r="G62" t="s">
        <v>3</v>
      </c>
      <c r="H62" t="s">
        <v>133</v>
      </c>
    </row>
    <row r="63" spans="1:11" x14ac:dyDescent="0.25">
      <c r="B63" t="s">
        <v>18</v>
      </c>
      <c r="C63">
        <f>C24*C59</f>
        <v>36</v>
      </c>
      <c r="D63" t="s">
        <v>3</v>
      </c>
      <c r="E63" s="2" t="s">
        <v>134</v>
      </c>
      <c r="F63">
        <f>C24*C58</f>
        <v>29.893746144161014</v>
      </c>
      <c r="G63" t="s">
        <v>3</v>
      </c>
      <c r="H63" s="2" t="s">
        <v>134</v>
      </c>
    </row>
    <row r="64" spans="1:11" x14ac:dyDescent="0.25">
      <c r="B64" t="s">
        <v>22</v>
      </c>
      <c r="C64">
        <f>K16*C59</f>
        <v>27</v>
      </c>
      <c r="D64" t="s">
        <v>3</v>
      </c>
      <c r="E64" s="2" t="s">
        <v>135</v>
      </c>
      <c r="F64">
        <f>K16*C58</f>
        <v>22.42030960812076</v>
      </c>
      <c r="G64" t="s">
        <v>3</v>
      </c>
      <c r="H64" s="2" t="s">
        <v>135</v>
      </c>
    </row>
    <row r="65" spans="1:8" x14ac:dyDescent="0.25">
      <c r="B65" t="s">
        <v>59</v>
      </c>
      <c r="C65">
        <f>2*K19*C59</f>
        <v>27</v>
      </c>
      <c r="D65" t="s">
        <v>3</v>
      </c>
      <c r="E65" s="2" t="s">
        <v>136</v>
      </c>
      <c r="F65">
        <f>2*K19*C58</f>
        <v>22.42030960812076</v>
      </c>
      <c r="G65" t="s">
        <v>3</v>
      </c>
      <c r="H65" s="2" t="s">
        <v>136</v>
      </c>
    </row>
    <row r="66" spans="1:8" x14ac:dyDescent="0.25">
      <c r="B66" t="s">
        <v>21</v>
      </c>
      <c r="C66">
        <f>C27*C59*C59</f>
        <v>891</v>
      </c>
      <c r="D66" t="s">
        <v>60</v>
      </c>
      <c r="E66" t="s">
        <v>137</v>
      </c>
      <c r="F66">
        <f>C27*C58*C58</f>
        <v>614.37479024043478</v>
      </c>
      <c r="G66" t="s">
        <v>60</v>
      </c>
      <c r="H66" t="s">
        <v>137</v>
      </c>
    </row>
    <row r="68" spans="1:8" x14ac:dyDescent="0.25">
      <c r="A68" t="s">
        <v>61</v>
      </c>
      <c r="B68" t="s">
        <v>138</v>
      </c>
      <c r="C68">
        <f>C35/C66</f>
        <v>38.079910952603555</v>
      </c>
      <c r="D68" t="s">
        <v>62</v>
      </c>
      <c r="E68" t="s">
        <v>140</v>
      </c>
    </row>
    <row r="72" spans="1:8" x14ac:dyDescent="0.25">
      <c r="B72" t="s">
        <v>66</v>
      </c>
      <c r="C72">
        <f>(C8*(1+C9/100))/60</f>
        <v>50</v>
      </c>
      <c r="D72" t="s">
        <v>67</v>
      </c>
    </row>
    <row r="73" spans="1:8" x14ac:dyDescent="0.25">
      <c r="B73" t="s">
        <v>68</v>
      </c>
      <c r="C73">
        <f>C7/2</f>
        <v>80</v>
      </c>
      <c r="D73" t="s">
        <v>3</v>
      </c>
    </row>
    <row r="74" spans="1:8" x14ac:dyDescent="0.25">
      <c r="B74" t="s">
        <v>21</v>
      </c>
      <c r="C74">
        <f>F66</f>
        <v>614.37479024043478</v>
      </c>
      <c r="D74" t="s">
        <v>60</v>
      </c>
    </row>
    <row r="75" spans="1:8" x14ac:dyDescent="0.25">
      <c r="A75" t="s">
        <v>69</v>
      </c>
      <c r="B75" t="s">
        <v>70</v>
      </c>
      <c r="C75">
        <f>C15*9.81</f>
        <v>76714.2</v>
      </c>
      <c r="D75" t="s">
        <v>74</v>
      </c>
    </row>
    <row r="76" spans="1:8" x14ac:dyDescent="0.25">
      <c r="B76" t="s">
        <v>17</v>
      </c>
      <c r="C76">
        <f>F62/2</f>
        <v>18.683591340100634</v>
      </c>
    </row>
    <row r="77" spans="1:8" x14ac:dyDescent="0.25">
      <c r="B77" t="s">
        <v>73</v>
      </c>
      <c r="C77">
        <f>(C28*C58^4)/C76</f>
        <v>5829.8022144298984</v>
      </c>
      <c r="D77" t="s">
        <v>141</v>
      </c>
    </row>
    <row r="80" spans="1:8" x14ac:dyDescent="0.25">
      <c r="A80" t="s">
        <v>63</v>
      </c>
      <c r="B80" t="s">
        <v>65</v>
      </c>
      <c r="E80" t="s">
        <v>142</v>
      </c>
    </row>
    <row r="81" spans="1:10" x14ac:dyDescent="0.25">
      <c r="A81" t="s">
        <v>64</v>
      </c>
      <c r="C81" s="2">
        <f>(0.2584*(10^-12)*(C72^2)*C73*C74*C75*(C4^2))/C77</f>
        <v>66.849446250932175</v>
      </c>
      <c r="D81" t="s">
        <v>62</v>
      </c>
      <c r="F81" t="s">
        <v>75</v>
      </c>
    </row>
    <row r="84" spans="1:10" x14ac:dyDescent="0.25">
      <c r="A84" t="s">
        <v>76</v>
      </c>
      <c r="B84" t="s">
        <v>77</v>
      </c>
      <c r="C84">
        <f>C81+C68</f>
        <v>104.92935720353573</v>
      </c>
      <c r="E84" t="s">
        <v>143</v>
      </c>
    </row>
    <row r="87" spans="1:10" x14ac:dyDescent="0.25">
      <c r="A87" t="s">
        <v>46</v>
      </c>
      <c r="C87">
        <f>C11/C84</f>
        <v>3.011549945808226</v>
      </c>
      <c r="D87" t="str">
        <f>IF(C87&gt;3,"OK", "Check!")</f>
        <v>OK</v>
      </c>
    </row>
    <row r="90" spans="1:10" ht="15.75" thickBot="1" x14ac:dyDescent="0.3"/>
    <row r="91" spans="1:10" ht="18.75" x14ac:dyDescent="0.3">
      <c r="A91" s="5" t="s">
        <v>79</v>
      </c>
      <c r="B91" s="6"/>
      <c r="C91" s="6"/>
      <c r="D91" s="6"/>
      <c r="E91" s="6"/>
      <c r="F91" s="6"/>
      <c r="G91" s="6"/>
      <c r="H91" s="6"/>
      <c r="I91" s="6"/>
      <c r="J91" s="7"/>
    </row>
    <row r="92" spans="1:10" x14ac:dyDescent="0.25">
      <c r="A92" s="8"/>
      <c r="B92" s="9"/>
      <c r="C92" s="9"/>
      <c r="D92" s="9"/>
      <c r="E92" s="9"/>
      <c r="F92" s="9"/>
      <c r="G92" s="9"/>
      <c r="H92" s="9"/>
      <c r="I92" s="9"/>
      <c r="J92" s="10"/>
    </row>
    <row r="93" spans="1:10" x14ac:dyDescent="0.25">
      <c r="A93" s="8" t="s">
        <v>80</v>
      </c>
      <c r="B93" s="9" t="s">
        <v>81</v>
      </c>
      <c r="C93" s="9">
        <v>1.3</v>
      </c>
      <c r="D93" s="9"/>
      <c r="E93" s="9" t="s">
        <v>82</v>
      </c>
      <c r="F93" s="9"/>
      <c r="G93" s="9"/>
      <c r="H93" s="9"/>
      <c r="I93" s="9"/>
      <c r="J93" s="10"/>
    </row>
    <row r="94" spans="1:10" x14ac:dyDescent="0.25">
      <c r="A94" s="8" t="s">
        <v>83</v>
      </c>
      <c r="B94" s="9" t="s">
        <v>84</v>
      </c>
      <c r="C94" s="9">
        <v>6.5</v>
      </c>
      <c r="D94" s="9"/>
      <c r="E94" s="9" t="s">
        <v>85</v>
      </c>
      <c r="F94" s="9"/>
      <c r="G94" s="9"/>
      <c r="H94" s="9"/>
      <c r="I94" s="9"/>
      <c r="J94" s="10"/>
    </row>
    <row r="95" spans="1:10" x14ac:dyDescent="0.25">
      <c r="A95" s="8"/>
      <c r="B95" s="9"/>
      <c r="C95" s="9"/>
      <c r="D95" s="9"/>
      <c r="E95" s="9"/>
      <c r="F95" s="9"/>
      <c r="G95" s="9"/>
      <c r="H95" s="9"/>
      <c r="I95" s="9"/>
      <c r="J95" s="10"/>
    </row>
    <row r="96" spans="1:10" x14ac:dyDescent="0.25">
      <c r="A96" s="8"/>
      <c r="B96" s="9" t="s">
        <v>86</v>
      </c>
      <c r="C96" s="9">
        <f>SQRT(C35/(C94*C93))</f>
        <v>63.366316121337853</v>
      </c>
      <c r="D96" s="9"/>
      <c r="E96" s="9" t="s">
        <v>144</v>
      </c>
      <c r="F96" s="9">
        <v>63.366316121337853</v>
      </c>
      <c r="G96" s="9"/>
      <c r="H96" s="9"/>
      <c r="I96" s="52">
        <f>(C98-C96)/C96</f>
        <v>2.5781582055896469E-2</v>
      </c>
      <c r="J96" s="54" t="s">
        <v>156</v>
      </c>
    </row>
    <row r="97" spans="1:10" x14ac:dyDescent="0.25">
      <c r="A97" s="8"/>
      <c r="B97" s="9"/>
      <c r="C97" s="9"/>
      <c r="D97" s="9"/>
      <c r="E97" s="9"/>
      <c r="F97" s="9">
        <v>82.376210957739218</v>
      </c>
      <c r="G97" s="9"/>
      <c r="H97" s="9"/>
      <c r="I97" s="9"/>
      <c r="J97" s="10"/>
    </row>
    <row r="98" spans="1:10" x14ac:dyDescent="0.25">
      <c r="A98" s="8"/>
      <c r="B98" s="9" t="s">
        <v>87</v>
      </c>
      <c r="C98" s="65">
        <f>G98</f>
        <v>65</v>
      </c>
      <c r="D98" s="9" t="str">
        <f>IF(C98&gt;=C96,"OK", "Check!")</f>
        <v>OK</v>
      </c>
      <c r="E98" s="9"/>
      <c r="F98" s="9" t="s">
        <v>168</v>
      </c>
      <c r="G98" s="9">
        <v>65</v>
      </c>
      <c r="H98" s="9"/>
      <c r="I98" s="9"/>
      <c r="J98" s="10"/>
    </row>
    <row r="99" spans="1:10" x14ac:dyDescent="0.25">
      <c r="A99" s="8"/>
      <c r="B99" s="9" t="s">
        <v>81</v>
      </c>
      <c r="C99" s="9">
        <f>C96*C93</f>
        <v>82.376210957739218</v>
      </c>
      <c r="D99" s="9"/>
      <c r="E99" s="9"/>
      <c r="F99" s="9"/>
      <c r="G99" s="9"/>
      <c r="H99" s="9"/>
      <c r="I99" s="9"/>
      <c r="J99" s="10"/>
    </row>
    <row r="100" spans="1:10" ht="15.75" thickBot="1" x14ac:dyDescent="0.3">
      <c r="A100" s="11"/>
      <c r="B100" s="12" t="s">
        <v>88</v>
      </c>
      <c r="C100" s="66">
        <f>G100</f>
        <v>83</v>
      </c>
      <c r="D100" s="12" t="str">
        <f>IF(C100&gt;=C99,"OK", "Check!")</f>
        <v>OK</v>
      </c>
      <c r="E100" s="12"/>
      <c r="F100" s="12"/>
      <c r="G100" s="12">
        <v>83</v>
      </c>
      <c r="H100" s="12"/>
      <c r="I100" s="12"/>
      <c r="J100" s="13"/>
    </row>
    <row r="103" spans="1:10" ht="15.75" thickBot="1" x14ac:dyDescent="0.3"/>
    <row r="104" spans="1:10" ht="18.75" x14ac:dyDescent="0.3">
      <c r="A104" s="30" t="s">
        <v>89</v>
      </c>
      <c r="B104" s="14"/>
      <c r="C104" s="14"/>
      <c r="D104" s="14"/>
      <c r="E104" s="14"/>
      <c r="F104" s="14"/>
      <c r="G104" s="14"/>
      <c r="H104" s="14"/>
      <c r="I104" s="14"/>
      <c r="J104" s="15"/>
    </row>
    <row r="105" spans="1:10" x14ac:dyDescent="0.25">
      <c r="A105" s="16"/>
      <c r="B105" s="17" t="s">
        <v>90</v>
      </c>
      <c r="C105" s="17">
        <v>16</v>
      </c>
      <c r="D105" s="17" t="s">
        <v>62</v>
      </c>
      <c r="E105" s="17" t="s">
        <v>91</v>
      </c>
      <c r="F105" s="17"/>
      <c r="G105" s="17"/>
      <c r="H105" s="17"/>
      <c r="I105" s="17"/>
      <c r="J105" s="18"/>
    </row>
    <row r="106" spans="1:10" x14ac:dyDescent="0.25">
      <c r="A106" s="16" t="s">
        <v>80</v>
      </c>
      <c r="B106" s="17"/>
      <c r="C106" s="17">
        <v>1.5</v>
      </c>
      <c r="D106" s="17"/>
      <c r="E106" s="17" t="s">
        <v>92</v>
      </c>
      <c r="F106" s="17"/>
      <c r="G106" s="17"/>
      <c r="H106" s="17"/>
      <c r="I106" s="17"/>
      <c r="J106" s="18"/>
    </row>
    <row r="107" spans="1:10" x14ac:dyDescent="0.25">
      <c r="A107" s="16"/>
      <c r="B107" s="17"/>
      <c r="C107" s="17"/>
      <c r="D107" s="17"/>
      <c r="E107" s="17"/>
      <c r="F107" s="17"/>
      <c r="G107" s="17"/>
      <c r="H107" s="17"/>
      <c r="I107" s="17"/>
      <c r="J107" s="18"/>
    </row>
    <row r="108" spans="1:10" x14ac:dyDescent="0.25">
      <c r="A108" s="16"/>
      <c r="B108" s="17" t="s">
        <v>86</v>
      </c>
      <c r="C108" s="17">
        <f>SQRT(C35/(C105*C106))</f>
        <v>37.599424119465013</v>
      </c>
      <c r="D108" s="17"/>
      <c r="E108" s="17" t="s">
        <v>145</v>
      </c>
      <c r="F108" s="17">
        <v>37.599424119465013</v>
      </c>
      <c r="G108" s="17"/>
      <c r="H108" s="17"/>
      <c r="I108" s="17"/>
      <c r="J108" s="18"/>
    </row>
    <row r="109" spans="1:10" x14ac:dyDescent="0.25">
      <c r="A109" s="16"/>
      <c r="B109" s="17"/>
      <c r="C109" s="17"/>
      <c r="D109" s="17"/>
      <c r="E109" s="17"/>
      <c r="F109" s="17">
        <v>56.399136179197519</v>
      </c>
      <c r="G109" s="17"/>
      <c r="H109" s="17"/>
      <c r="I109" s="17"/>
      <c r="J109" s="18"/>
    </row>
    <row r="110" spans="1:10" x14ac:dyDescent="0.25">
      <c r="A110" s="16"/>
      <c r="B110" s="17" t="s">
        <v>87</v>
      </c>
      <c r="C110" s="65">
        <f>G110</f>
        <v>39</v>
      </c>
      <c r="D110" s="17" t="str">
        <f>IF(C110&gt;C108,"OK", "Check!")</f>
        <v>OK</v>
      </c>
      <c r="E110" s="17"/>
      <c r="F110" s="17" t="s">
        <v>169</v>
      </c>
      <c r="G110" s="17">
        <v>39</v>
      </c>
      <c r="H110" s="17"/>
      <c r="I110" s="17"/>
      <c r="J110" s="18"/>
    </row>
    <row r="111" spans="1:10" x14ac:dyDescent="0.25">
      <c r="A111" s="16"/>
      <c r="B111" s="17" t="s">
        <v>81</v>
      </c>
      <c r="C111" s="17">
        <f>C108*C106</f>
        <v>56.399136179197519</v>
      </c>
      <c r="D111" s="17"/>
      <c r="E111" s="17"/>
      <c r="F111" s="17"/>
      <c r="G111" s="17"/>
      <c r="H111" s="17"/>
      <c r="I111" s="17"/>
      <c r="J111" s="18"/>
    </row>
    <row r="112" spans="1:10" x14ac:dyDescent="0.25">
      <c r="A112" s="16"/>
      <c r="B112" s="17" t="s">
        <v>88</v>
      </c>
      <c r="C112" s="65">
        <f>G112</f>
        <v>57</v>
      </c>
      <c r="D112" s="17" t="str">
        <f>IF(C112&gt;C111,"OK", "Check!")</f>
        <v>OK</v>
      </c>
      <c r="E112" s="17"/>
      <c r="F112" s="17"/>
      <c r="G112" s="17">
        <v>57</v>
      </c>
      <c r="H112" s="17"/>
      <c r="I112" s="55">
        <f>(C110-C108)/C108</f>
        <v>3.7249929043724817E-2</v>
      </c>
      <c r="J112" s="56" t="s">
        <v>158</v>
      </c>
    </row>
    <row r="113" spans="1:10" ht="15.75" thickBot="1" x14ac:dyDescent="0.3">
      <c r="A113" s="19"/>
      <c r="B113" s="20"/>
      <c r="C113" s="20"/>
      <c r="D113" s="20"/>
      <c r="E113" s="20"/>
      <c r="F113" s="20"/>
      <c r="G113" s="20"/>
      <c r="H113" s="20"/>
      <c r="I113" s="20"/>
      <c r="J113" s="21"/>
    </row>
    <row r="114" spans="1:10" ht="15.75" thickBot="1" x14ac:dyDescent="0.3"/>
    <row r="115" spans="1:10" ht="18.75" x14ac:dyDescent="0.3">
      <c r="A115" s="31" t="s">
        <v>93</v>
      </c>
      <c r="B115" s="22"/>
      <c r="C115" s="22"/>
      <c r="D115" s="22"/>
      <c r="E115" s="22"/>
      <c r="F115" s="22"/>
      <c r="G115" s="22"/>
      <c r="H115" s="22"/>
      <c r="I115" s="22"/>
      <c r="J115" s="23"/>
    </row>
    <row r="116" spans="1:10" x14ac:dyDescent="0.25">
      <c r="A116" s="24"/>
      <c r="B116" s="25"/>
      <c r="C116" s="25"/>
      <c r="D116" s="25"/>
      <c r="E116" s="25"/>
      <c r="F116" s="25"/>
      <c r="G116" s="25"/>
      <c r="H116" s="25"/>
      <c r="I116" s="25"/>
      <c r="J116" s="26"/>
    </row>
    <row r="117" spans="1:10" x14ac:dyDescent="0.25">
      <c r="A117" s="24" t="s">
        <v>94</v>
      </c>
      <c r="B117" s="25" t="s">
        <v>95</v>
      </c>
      <c r="C117" s="25"/>
      <c r="D117" s="25"/>
      <c r="E117" s="25"/>
      <c r="F117" s="25"/>
      <c r="G117" s="25"/>
      <c r="H117" s="25"/>
      <c r="I117" s="25"/>
      <c r="J117" s="26"/>
    </row>
    <row r="118" spans="1:10" x14ac:dyDescent="0.25">
      <c r="A118" s="24"/>
      <c r="B118" s="25"/>
      <c r="C118" s="25"/>
      <c r="D118" s="25"/>
      <c r="E118" s="25"/>
      <c r="F118" s="25"/>
      <c r="G118" s="25"/>
      <c r="H118" s="25"/>
      <c r="I118" s="25"/>
      <c r="J118" s="26"/>
    </row>
    <row r="119" spans="1:10" x14ac:dyDescent="0.25">
      <c r="A119" s="24"/>
      <c r="B119" s="25"/>
      <c r="C119" s="25">
        <f>4.03*10^(-3)*C73*(C72^2)*C6*(1+(C73/C4))</f>
        <v>24180</v>
      </c>
      <c r="D119" s="25" t="s">
        <v>12</v>
      </c>
      <c r="E119" s="25" t="s">
        <v>146</v>
      </c>
      <c r="F119" s="25"/>
      <c r="G119" s="25"/>
      <c r="H119" s="25"/>
      <c r="I119" s="25"/>
      <c r="J119" s="26"/>
    </row>
    <row r="120" spans="1:10" x14ac:dyDescent="0.25">
      <c r="A120" s="24" t="s">
        <v>96</v>
      </c>
      <c r="B120" s="25" t="s">
        <v>97</v>
      </c>
      <c r="C120" s="25">
        <v>2</v>
      </c>
      <c r="D120" s="25"/>
      <c r="E120" s="25"/>
      <c r="F120" s="25"/>
      <c r="G120" s="25"/>
      <c r="H120" s="25"/>
      <c r="I120" s="25"/>
      <c r="J120" s="26"/>
    </row>
    <row r="121" spans="1:10" x14ac:dyDescent="0.25">
      <c r="A121" s="24" t="s">
        <v>98</v>
      </c>
      <c r="B121" s="25"/>
      <c r="C121" s="25">
        <f>C119/C120</f>
        <v>12090</v>
      </c>
      <c r="D121" s="25" t="s">
        <v>12</v>
      </c>
      <c r="E121" s="25"/>
      <c r="F121" s="25"/>
      <c r="G121" s="25"/>
      <c r="H121" s="25"/>
      <c r="I121" s="25"/>
      <c r="J121" s="26"/>
    </row>
    <row r="122" spans="1:10" x14ac:dyDescent="0.25">
      <c r="A122" s="24"/>
      <c r="B122" s="25"/>
      <c r="C122" s="25"/>
      <c r="D122" s="25"/>
      <c r="E122" s="25"/>
      <c r="F122" s="25"/>
      <c r="G122" s="25"/>
      <c r="H122" s="25"/>
      <c r="I122" s="25"/>
      <c r="J122" s="26"/>
    </row>
    <row r="123" spans="1:10" x14ac:dyDescent="0.25">
      <c r="A123" s="24"/>
      <c r="B123" s="25"/>
      <c r="C123" s="25"/>
      <c r="D123" s="25"/>
      <c r="E123" s="25"/>
      <c r="F123" s="25"/>
      <c r="G123" s="25"/>
      <c r="H123" s="25"/>
      <c r="I123" s="25"/>
      <c r="J123" s="26"/>
    </row>
    <row r="124" spans="1:10" x14ac:dyDescent="0.25">
      <c r="A124" s="24" t="s">
        <v>17</v>
      </c>
      <c r="B124" s="25"/>
      <c r="C124" s="25">
        <v>2.29</v>
      </c>
      <c r="D124" s="25" t="s">
        <v>99</v>
      </c>
      <c r="E124" s="25"/>
      <c r="F124" s="25"/>
      <c r="G124" s="25"/>
      <c r="H124" s="25"/>
      <c r="I124" s="25"/>
      <c r="J124" s="26"/>
    </row>
    <row r="125" spans="1:10" x14ac:dyDescent="0.25">
      <c r="A125" s="24" t="s">
        <v>100</v>
      </c>
      <c r="B125" s="25" t="s">
        <v>101</v>
      </c>
      <c r="C125" s="25">
        <f>(C121/C124)^(1/1.418)</f>
        <v>421.92994748790915</v>
      </c>
      <c r="D125" s="25" t="s">
        <v>60</v>
      </c>
      <c r="E125" s="25" t="s">
        <v>147</v>
      </c>
      <c r="F125" s="25">
        <v>421.92994748790915</v>
      </c>
      <c r="G125" s="25"/>
      <c r="H125" s="25"/>
      <c r="I125" s="57">
        <f>(C128-C125)/C125</f>
        <v>0.17555059306192863</v>
      </c>
      <c r="J125" s="58" t="s">
        <v>159</v>
      </c>
    </row>
    <row r="126" spans="1:10" x14ac:dyDescent="0.25">
      <c r="A126" s="24"/>
      <c r="B126" s="25"/>
      <c r="C126" s="25">
        <f>SQRT(C125*4/PI())</f>
        <v>23.177961391149925</v>
      </c>
      <c r="D126" s="25"/>
      <c r="E126" s="25" t="s">
        <v>148</v>
      </c>
      <c r="F126" s="25">
        <v>23.177961391149925</v>
      </c>
      <c r="G126" s="25"/>
      <c r="H126" s="25"/>
      <c r="I126" s="25"/>
      <c r="J126" s="26"/>
    </row>
    <row r="127" spans="1:10" x14ac:dyDescent="0.25">
      <c r="A127" s="24"/>
      <c r="B127" s="25" t="s">
        <v>102</v>
      </c>
      <c r="C127" s="65">
        <f>G127</f>
        <v>27</v>
      </c>
      <c r="D127" s="25" t="s">
        <v>103</v>
      </c>
      <c r="E127" s="25"/>
      <c r="F127" s="25" t="s">
        <v>170</v>
      </c>
      <c r="G127" s="25">
        <v>27</v>
      </c>
      <c r="H127" s="25"/>
      <c r="I127" s="25"/>
      <c r="J127" s="26"/>
    </row>
    <row r="128" spans="1:10" x14ac:dyDescent="0.25">
      <c r="A128" s="24"/>
      <c r="B128" s="25" t="s">
        <v>104</v>
      </c>
      <c r="C128" s="65">
        <f>G128</f>
        <v>496</v>
      </c>
      <c r="D128" s="25" t="s">
        <v>60</v>
      </c>
      <c r="E128" s="25"/>
      <c r="F128" s="25"/>
      <c r="G128" s="25">
        <v>496</v>
      </c>
      <c r="H128" s="25"/>
      <c r="I128" s="25"/>
      <c r="J128" s="26"/>
    </row>
    <row r="129" spans="1:10" ht="15.75" thickBot="1" x14ac:dyDescent="0.3">
      <c r="A129" s="27"/>
      <c r="B129" s="28" t="s">
        <v>35</v>
      </c>
      <c r="C129" s="28">
        <f>C120*C16/C128</f>
        <v>2.0161290322580645</v>
      </c>
      <c r="D129" s="28" t="str">
        <f>IF(C129&gt;1,"OK", "Check!")</f>
        <v>OK</v>
      </c>
      <c r="E129" s="28"/>
      <c r="F129" s="28"/>
      <c r="G129" s="28"/>
      <c r="H129" s="28"/>
      <c r="I129" s="28"/>
      <c r="J129" s="29"/>
    </row>
    <row r="133" spans="1:10" ht="15.75" thickBot="1" x14ac:dyDescent="0.3"/>
    <row r="134" spans="1:10" ht="18.75" x14ac:dyDescent="0.3">
      <c r="A134" s="32" t="s">
        <v>106</v>
      </c>
      <c r="B134" s="33"/>
      <c r="C134" s="33"/>
      <c r="D134" s="33"/>
      <c r="E134" s="33"/>
      <c r="F134" s="33"/>
      <c r="G134" s="33"/>
      <c r="H134" s="33"/>
      <c r="I134" s="33"/>
      <c r="J134" s="34"/>
    </row>
    <row r="135" spans="1:10" x14ac:dyDescent="0.25">
      <c r="A135" s="35" t="s">
        <v>107</v>
      </c>
      <c r="B135" s="36" t="s">
        <v>108</v>
      </c>
      <c r="C135" s="36"/>
      <c r="D135" s="36"/>
      <c r="E135" s="36"/>
      <c r="F135" s="36"/>
      <c r="G135" s="36"/>
      <c r="H135" s="36"/>
      <c r="I135" s="36"/>
      <c r="J135" s="37"/>
    </row>
    <row r="136" spans="1:10" x14ac:dyDescent="0.25">
      <c r="A136" s="35"/>
      <c r="B136" s="36"/>
      <c r="C136" s="36">
        <f>C98+(2*3)+C127+5</f>
        <v>103</v>
      </c>
      <c r="D136" s="36"/>
      <c r="E136" s="36" t="s">
        <v>149</v>
      </c>
      <c r="F136" s="36">
        <v>103</v>
      </c>
      <c r="G136" s="36"/>
      <c r="H136" s="36"/>
      <c r="I136" s="36"/>
      <c r="J136" s="37"/>
    </row>
    <row r="137" spans="1:10" x14ac:dyDescent="0.25">
      <c r="A137" s="35"/>
      <c r="B137" s="36" t="s">
        <v>160</v>
      </c>
      <c r="C137" s="36">
        <v>105</v>
      </c>
      <c r="D137" s="36"/>
      <c r="E137" s="36"/>
      <c r="F137" s="36">
        <v>11.011501466964532</v>
      </c>
      <c r="G137" s="36">
        <v>105</v>
      </c>
      <c r="H137" s="36"/>
      <c r="I137" s="36"/>
      <c r="J137" s="37"/>
    </row>
    <row r="138" spans="1:10" x14ac:dyDescent="0.25">
      <c r="A138" s="35"/>
      <c r="B138" s="36"/>
      <c r="C138" s="36"/>
      <c r="D138" s="36"/>
      <c r="E138" s="36"/>
      <c r="F138" s="36"/>
      <c r="G138" s="36"/>
      <c r="H138" s="36"/>
      <c r="I138" s="59">
        <f>(C137-C136)/C136</f>
        <v>1.9417475728155338E-2</v>
      </c>
      <c r="J138" s="60" t="s">
        <v>161</v>
      </c>
    </row>
    <row r="139" spans="1:10" x14ac:dyDescent="0.25">
      <c r="A139" s="35" t="s">
        <v>24</v>
      </c>
      <c r="B139" s="36" t="s">
        <v>109</v>
      </c>
      <c r="C139" s="36"/>
      <c r="D139" s="36"/>
      <c r="E139" s="36"/>
      <c r="F139" s="36"/>
      <c r="G139" s="36"/>
      <c r="H139" s="36"/>
      <c r="I139" s="59"/>
      <c r="J139" s="60"/>
    </row>
    <row r="140" spans="1:10" x14ac:dyDescent="0.25">
      <c r="A140" s="35"/>
      <c r="B140" s="36"/>
      <c r="C140" s="36">
        <f>SQRT((C119*C136)/(C98*C11))</f>
        <v>11.011501466964532</v>
      </c>
      <c r="D140" s="36"/>
      <c r="E140" s="36"/>
      <c r="F140" s="36"/>
      <c r="G140" s="36"/>
      <c r="H140" s="36"/>
      <c r="I140" s="59"/>
      <c r="J140" s="60"/>
    </row>
    <row r="141" spans="1:10" x14ac:dyDescent="0.25">
      <c r="A141" s="35"/>
      <c r="B141" s="36" t="s">
        <v>58</v>
      </c>
      <c r="C141" s="36">
        <f>G141</f>
        <v>14</v>
      </c>
      <c r="D141" s="36" t="str">
        <f>IF(C141&gt;C140,"OK", "Check!")</f>
        <v>OK</v>
      </c>
      <c r="E141" s="36"/>
      <c r="F141" s="36" t="s">
        <v>171</v>
      </c>
      <c r="G141" s="36">
        <v>14</v>
      </c>
      <c r="H141" s="36"/>
      <c r="I141" s="59">
        <f>(C141-C140)/C140</f>
        <v>0.27139791444438571</v>
      </c>
      <c r="J141" s="60" t="s">
        <v>162</v>
      </c>
    </row>
    <row r="142" spans="1:10" x14ac:dyDescent="0.25">
      <c r="A142" s="35"/>
      <c r="B142" s="36"/>
      <c r="C142" s="36"/>
      <c r="D142" s="36"/>
      <c r="E142" s="36"/>
      <c r="F142" s="36"/>
      <c r="G142" s="36"/>
      <c r="H142" s="36"/>
      <c r="I142" s="36"/>
      <c r="J142" s="37"/>
    </row>
    <row r="143" spans="1:10" ht="15.75" thickBot="1" x14ac:dyDescent="0.3">
      <c r="A143" s="38"/>
      <c r="B143" s="39"/>
      <c r="C143" s="39"/>
      <c r="D143" s="39"/>
      <c r="E143" s="39"/>
      <c r="F143" s="39"/>
      <c r="G143" s="39"/>
      <c r="H143" s="39"/>
      <c r="I143" s="39"/>
      <c r="J143" s="40"/>
    </row>
    <row r="145" spans="1:10" ht="15.75" thickBot="1" x14ac:dyDescent="0.3"/>
    <row r="146" spans="1:10" ht="18.75" x14ac:dyDescent="0.3">
      <c r="A146" s="41" t="s">
        <v>110</v>
      </c>
      <c r="B146" s="42" t="s">
        <v>154</v>
      </c>
      <c r="C146" s="42"/>
      <c r="D146" s="42"/>
      <c r="E146" s="42" t="s">
        <v>167</v>
      </c>
      <c r="F146" s="42"/>
      <c r="G146" s="42"/>
      <c r="H146" s="42"/>
      <c r="I146" s="42"/>
      <c r="J146" s="43"/>
    </row>
    <row r="147" spans="1:10" x14ac:dyDescent="0.25">
      <c r="A147" s="44"/>
      <c r="B147" s="45"/>
      <c r="C147" s="45"/>
      <c r="D147" s="45"/>
      <c r="E147" s="45"/>
      <c r="F147" s="45"/>
      <c r="G147" s="45"/>
      <c r="H147" s="45"/>
      <c r="I147" s="45"/>
      <c r="J147" s="46"/>
    </row>
    <row r="148" spans="1:10" x14ac:dyDescent="0.25">
      <c r="A148" s="44" t="s">
        <v>113</v>
      </c>
      <c r="B148" s="63">
        <f>$C$66*$C$4</f>
        <v>356400</v>
      </c>
      <c r="C148" s="63" t="s">
        <v>114</v>
      </c>
      <c r="D148" s="63"/>
      <c r="E148" s="63">
        <f>$F$66*$C$4</f>
        <v>245749.91609617393</v>
      </c>
      <c r="F148" s="45" t="s">
        <v>114</v>
      </c>
      <c r="G148" s="45"/>
      <c r="H148" s="45"/>
      <c r="I148" s="45"/>
      <c r="J148" s="46"/>
    </row>
    <row r="149" spans="1:10" x14ac:dyDescent="0.25">
      <c r="A149" s="44" t="s">
        <v>111</v>
      </c>
      <c r="B149" s="63">
        <f>B148*C15/1000000000</f>
        <v>2.787048</v>
      </c>
      <c r="C149" s="63" t="s">
        <v>116</v>
      </c>
      <c r="D149" s="63"/>
      <c r="E149" s="63">
        <f>E148*C15/1000000000</f>
        <v>1.9217643438720802</v>
      </c>
      <c r="F149" s="45" t="s">
        <v>116</v>
      </c>
      <c r="G149" s="45" t="s">
        <v>151</v>
      </c>
      <c r="H149" s="45"/>
      <c r="I149" s="45"/>
      <c r="J149" s="46"/>
    </row>
    <row r="150" spans="1:10" x14ac:dyDescent="0.25">
      <c r="A150" s="44"/>
      <c r="B150" s="63"/>
      <c r="C150" s="63"/>
      <c r="D150" s="63"/>
      <c r="E150" s="63"/>
      <c r="F150" s="45"/>
      <c r="G150" s="45"/>
      <c r="H150" s="45"/>
      <c r="I150" s="45"/>
      <c r="J150" s="46"/>
    </row>
    <row r="151" spans="1:10" x14ac:dyDescent="0.25">
      <c r="A151" s="44" t="s">
        <v>112</v>
      </c>
      <c r="B151" s="63"/>
      <c r="C151" s="63"/>
      <c r="D151" s="63"/>
      <c r="E151" s="63"/>
      <c r="F151" s="45"/>
      <c r="G151" s="45"/>
      <c r="H151" s="45"/>
      <c r="I151" s="45"/>
      <c r="J151" s="46"/>
    </row>
    <row r="152" spans="1:10" x14ac:dyDescent="0.25">
      <c r="A152" s="44" t="s">
        <v>117</v>
      </c>
      <c r="B152" s="63">
        <f>(C136*(2*C98)*C100)-(PI()*(C98^2)*C100/4)</f>
        <v>835950.49905059976</v>
      </c>
      <c r="C152" s="63" t="s">
        <v>114</v>
      </c>
      <c r="D152" s="63"/>
      <c r="E152" s="63">
        <f>(C136*(2*C96)*C99)-(PI()*(C96^2)*C99/4)</f>
        <v>815512.932312652</v>
      </c>
      <c r="F152" s="45" t="s">
        <v>114</v>
      </c>
      <c r="G152" s="45"/>
      <c r="H152" s="45">
        <f>(2*C136*(C96^2)*C93)-(PI()*(C96^3)*C93/4)</f>
        <v>815512.932312652</v>
      </c>
      <c r="I152" s="45"/>
      <c r="J152" s="46"/>
    </row>
    <row r="153" spans="1:10" x14ac:dyDescent="0.25">
      <c r="A153" s="44"/>
      <c r="B153" s="63">
        <f>C15*B152/1000000000</f>
        <v>6.5371329025756904</v>
      </c>
      <c r="C153" s="63" t="s">
        <v>118</v>
      </c>
      <c r="D153" s="63"/>
      <c r="E153" s="63">
        <f>C15*E152/1000000000</f>
        <v>6.3773111306849382</v>
      </c>
      <c r="F153" s="45" t="s">
        <v>118</v>
      </c>
      <c r="G153" s="45" t="s">
        <v>152</v>
      </c>
      <c r="H153" s="45"/>
      <c r="I153" s="45"/>
      <c r="J153" s="46"/>
    </row>
    <row r="154" spans="1:10" x14ac:dyDescent="0.25">
      <c r="A154" s="44"/>
      <c r="B154" s="63"/>
      <c r="C154" s="63"/>
      <c r="D154" s="63"/>
      <c r="E154" s="63"/>
      <c r="F154" s="45"/>
      <c r="G154" s="45"/>
      <c r="H154" s="45"/>
      <c r="I154" s="45"/>
      <c r="J154" s="46"/>
    </row>
    <row r="155" spans="1:10" x14ac:dyDescent="0.25">
      <c r="A155" s="44" t="s">
        <v>119</v>
      </c>
      <c r="B155" s="63"/>
      <c r="C155" s="63"/>
      <c r="D155" s="63"/>
      <c r="E155" s="63"/>
      <c r="F155" s="45"/>
      <c r="G155" s="45"/>
      <c r="H155" s="45"/>
      <c r="I155" s="45"/>
      <c r="J155" s="46"/>
    </row>
    <row r="156" spans="1:10" x14ac:dyDescent="0.25">
      <c r="A156" s="44" t="s">
        <v>120</v>
      </c>
      <c r="B156" s="63">
        <f>PI()*(C110^2)*C112/4</f>
        <v>68091.664572068563</v>
      </c>
      <c r="C156" s="63" t="s">
        <v>114</v>
      </c>
      <c r="D156" s="63"/>
      <c r="E156" s="63">
        <f>PI()*(C108^2)*C111/4</f>
        <v>62621.680798332687</v>
      </c>
      <c r="F156" s="45" t="s">
        <v>114</v>
      </c>
      <c r="G156" s="45"/>
      <c r="H156" s="45">
        <f>(C108^3*PI()*C106/4)</f>
        <v>62621.680798332673</v>
      </c>
      <c r="I156" s="45"/>
      <c r="J156" s="46"/>
    </row>
    <row r="157" spans="1:10" x14ac:dyDescent="0.25">
      <c r="A157" s="44"/>
      <c r="B157" s="63">
        <f>C15*B156/1000000000</f>
        <v>0.53247681695357618</v>
      </c>
      <c r="C157" s="63" t="s">
        <v>118</v>
      </c>
      <c r="D157" s="63"/>
      <c r="E157" s="63">
        <f>C15*E156/1000000000</f>
        <v>0.48970154384296161</v>
      </c>
      <c r="F157" s="45" t="s">
        <v>118</v>
      </c>
      <c r="G157" s="45"/>
      <c r="H157" s="45"/>
      <c r="I157" s="45"/>
      <c r="J157" s="46"/>
    </row>
    <row r="158" spans="1:10" x14ac:dyDescent="0.25">
      <c r="A158" s="44"/>
      <c r="B158" s="63"/>
      <c r="C158" s="63"/>
      <c r="D158" s="63"/>
      <c r="E158" s="63"/>
      <c r="F158" s="45"/>
      <c r="G158" s="45"/>
      <c r="H158" s="45"/>
      <c r="I158" s="45"/>
      <c r="J158" s="46"/>
    </row>
    <row r="159" spans="1:10" x14ac:dyDescent="0.25">
      <c r="A159" s="44" t="s">
        <v>153</v>
      </c>
      <c r="B159" s="63">
        <f>3*C128*C110*C106</f>
        <v>87048</v>
      </c>
      <c r="C159" s="63" t="s">
        <v>114</v>
      </c>
      <c r="D159" s="63"/>
      <c r="E159" s="63">
        <f>3*C125*C108*C106</f>
        <v>71389.453699356731</v>
      </c>
      <c r="F159" s="45" t="s">
        <v>114</v>
      </c>
      <c r="G159" s="45"/>
      <c r="H159" s="45"/>
      <c r="I159" s="45"/>
      <c r="J159" s="46"/>
    </row>
    <row r="160" spans="1:10" x14ac:dyDescent="0.25">
      <c r="A160" s="44"/>
      <c r="B160" s="63">
        <f>B159*C15/10^(9)</f>
        <v>0.68071535999999999</v>
      </c>
      <c r="C160" s="63" t="s">
        <v>118</v>
      </c>
      <c r="D160" s="63"/>
      <c r="E160" s="63">
        <f>E159*C15/10^(9)</f>
        <v>0.55826552792896966</v>
      </c>
      <c r="F160" s="45" t="s">
        <v>118</v>
      </c>
      <c r="G160" s="45"/>
      <c r="H160" s="45"/>
      <c r="I160" s="45"/>
      <c r="J160" s="46"/>
    </row>
    <row r="161" spans="1:10" x14ac:dyDescent="0.25">
      <c r="A161" s="44"/>
      <c r="B161" s="63"/>
      <c r="C161" s="63"/>
      <c r="D161" s="63"/>
      <c r="E161" s="63"/>
      <c r="F161" s="45"/>
      <c r="G161" s="45"/>
      <c r="H161" s="45"/>
      <c r="I161" s="45"/>
      <c r="J161" s="46"/>
    </row>
    <row r="162" spans="1:10" x14ac:dyDescent="0.25">
      <c r="A162" s="44" t="s">
        <v>174</v>
      </c>
      <c r="B162" s="63"/>
      <c r="C162" s="63"/>
      <c r="D162" s="63"/>
      <c r="E162" s="63"/>
      <c r="F162" s="45"/>
      <c r="G162" s="45"/>
      <c r="H162" s="45"/>
      <c r="I162" s="45"/>
      <c r="J162" s="46"/>
    </row>
    <row r="163" spans="1:10" x14ac:dyDescent="0.25">
      <c r="A163" s="44" t="s">
        <v>120</v>
      </c>
      <c r="B163" s="63">
        <f>C137*C141</f>
        <v>1470</v>
      </c>
      <c r="C163" s="63" t="s">
        <v>114</v>
      </c>
      <c r="D163" s="63"/>
      <c r="E163" s="63">
        <f>C136*C140</f>
        <v>1134.1846510973469</v>
      </c>
      <c r="F163" s="63" t="s">
        <v>114</v>
      </c>
      <c r="G163" s="45"/>
      <c r="H163" s="45"/>
      <c r="I163" s="45"/>
      <c r="J163" s="46"/>
    </row>
    <row r="164" spans="1:10" x14ac:dyDescent="0.25">
      <c r="A164" s="44"/>
      <c r="B164" s="63">
        <f>B163*C15/10^(9)</f>
        <v>1.1495399999999999E-2</v>
      </c>
      <c r="C164" s="63" t="s">
        <v>118</v>
      </c>
      <c r="D164" s="63"/>
      <c r="E164" s="63">
        <f>E163*C15/10^(9)</f>
        <v>8.8693239715812531E-3</v>
      </c>
      <c r="F164" s="63" t="s">
        <v>118</v>
      </c>
      <c r="G164" s="45"/>
      <c r="H164" s="45"/>
      <c r="I164" s="45"/>
      <c r="J164" s="46"/>
    </row>
    <row r="165" spans="1:10" x14ac:dyDescent="0.25">
      <c r="A165" s="44"/>
      <c r="B165" s="63"/>
      <c r="C165" s="63"/>
      <c r="D165" s="63"/>
      <c r="E165" s="63"/>
      <c r="F165" s="45"/>
      <c r="G165" s="45"/>
      <c r="H165" s="45"/>
      <c r="I165" s="45"/>
      <c r="J165" s="46"/>
    </row>
    <row r="166" spans="1:10" ht="15.75" thickBot="1" x14ac:dyDescent="0.3">
      <c r="A166" s="47" t="s">
        <v>172</v>
      </c>
      <c r="B166" s="64">
        <f>B149+B153+B157+B160+B164</f>
        <v>10.548868479529267</v>
      </c>
      <c r="C166" s="64" t="s">
        <v>118</v>
      </c>
      <c r="D166" s="64"/>
      <c r="E166" s="64">
        <f>E149+E153+E157+E160+E164</f>
        <v>9.3559118703005311</v>
      </c>
      <c r="F166" s="61" t="s">
        <v>118</v>
      </c>
      <c r="G166" s="48"/>
      <c r="H166" s="48"/>
      <c r="I166" s="48"/>
      <c r="J166" s="49"/>
    </row>
    <row r="167" spans="1:10" ht="15.75" thickBot="1" x14ac:dyDescent="0.3">
      <c r="A167" t="s">
        <v>121</v>
      </c>
      <c r="B167" s="64">
        <f>B148+B152+B156+B159+B163</f>
        <v>1348960.1636226682</v>
      </c>
      <c r="C167" s="61" t="s">
        <v>114</v>
      </c>
      <c r="D167" s="61"/>
      <c r="E167" s="64">
        <f>E148+E152+E156+E159+E163</f>
        <v>1196408.1675576125</v>
      </c>
      <c r="F167" s="61" t="s">
        <v>114</v>
      </c>
    </row>
  </sheetData>
  <phoneticPr fontId="4" type="noConversion"/>
  <conditionalFormatting sqref="D32">
    <cfRule type="cellIs" dxfId="15" priority="17" operator="equal">
      <formula>"Check!"</formula>
    </cfRule>
    <cfRule type="cellIs" dxfId="14" priority="18" operator="equal">
      <formula>"OK"</formula>
    </cfRule>
  </conditionalFormatting>
  <conditionalFormatting sqref="D87">
    <cfRule type="cellIs" dxfId="13" priority="15" operator="equal">
      <formula>"Check!"</formula>
    </cfRule>
    <cfRule type="cellIs" dxfId="12" priority="16" operator="equal">
      <formula>"OK"</formula>
    </cfRule>
  </conditionalFormatting>
  <conditionalFormatting sqref="D98">
    <cfRule type="cellIs" dxfId="11" priority="3" operator="equal">
      <formula>"Check!"</formula>
    </cfRule>
    <cfRule type="cellIs" dxfId="10" priority="4" operator="equal">
      <formula>"OK"</formula>
    </cfRule>
  </conditionalFormatting>
  <conditionalFormatting sqref="D100">
    <cfRule type="cellIs" dxfId="9" priority="5" operator="equal">
      <formula>"Check!"</formula>
    </cfRule>
    <cfRule type="cellIs" dxfId="8" priority="6" operator="equal">
      <formula>"OK"</formula>
    </cfRule>
  </conditionalFormatting>
  <conditionalFormatting sqref="D110">
    <cfRule type="cellIs" dxfId="7" priority="7" operator="equal">
      <formula>"Check!"</formula>
    </cfRule>
    <cfRule type="cellIs" dxfId="6" priority="8" operator="equal">
      <formula>"OK"</formula>
    </cfRule>
  </conditionalFormatting>
  <conditionalFormatting sqref="D112">
    <cfRule type="cellIs" dxfId="5" priority="9" operator="equal">
      <formula>"Check!"</formula>
    </cfRule>
    <cfRule type="cellIs" dxfId="4" priority="10" operator="equal">
      <formula>"OK"</formula>
    </cfRule>
  </conditionalFormatting>
  <conditionalFormatting sqref="D129">
    <cfRule type="cellIs" dxfId="3" priority="1" operator="equal">
      <formula>"Check!"</formula>
    </cfRule>
    <cfRule type="cellIs" dxfId="2" priority="2" operator="equal">
      <formula>"OK"</formula>
    </cfRule>
  </conditionalFormatting>
  <conditionalFormatting sqref="D141">
    <cfRule type="cellIs" dxfId="1" priority="11" operator="equal">
      <formula>"Check!"</formula>
    </cfRule>
    <cfRule type="cellIs" dxfId="0" priority="12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8F07-E870-4D12-BE7A-74324D7CF3A4}">
  <dimension ref="A1:J13"/>
  <sheetViews>
    <sheetView workbookViewId="0">
      <selection sqref="A1:J13"/>
    </sheetView>
  </sheetViews>
  <sheetFormatPr defaultRowHeight="15" x14ac:dyDescent="0.25"/>
  <cols>
    <col min="5" max="5" width="23.85546875" bestFit="1" customWidth="1"/>
    <col min="6" max="6" width="23.85546875" customWidth="1"/>
  </cols>
  <sheetData>
    <row r="1" spans="1:10" x14ac:dyDescent="0.25">
      <c r="A1" t="s">
        <v>132</v>
      </c>
      <c r="B1" t="s">
        <v>2</v>
      </c>
      <c r="C1" t="s">
        <v>132</v>
      </c>
      <c r="D1" t="s">
        <v>130</v>
      </c>
      <c r="E1" t="s">
        <v>1</v>
      </c>
      <c r="F1" t="s">
        <v>130</v>
      </c>
      <c r="G1">
        <v>400</v>
      </c>
      <c r="H1" t="s">
        <v>130</v>
      </c>
      <c r="I1" t="s">
        <v>3</v>
      </c>
      <c r="J1" s="4" t="s">
        <v>131</v>
      </c>
    </row>
    <row r="2" spans="1:10" x14ac:dyDescent="0.25">
      <c r="A2" t="s">
        <v>132</v>
      </c>
      <c r="B2" t="s">
        <v>5</v>
      </c>
      <c r="C2" t="s">
        <v>132</v>
      </c>
      <c r="D2" t="s">
        <v>130</v>
      </c>
      <c r="E2" t="s">
        <v>4</v>
      </c>
      <c r="F2" t="s">
        <v>130</v>
      </c>
      <c r="G2">
        <v>120</v>
      </c>
      <c r="H2" t="s">
        <v>130</v>
      </c>
      <c r="I2" t="s">
        <v>3</v>
      </c>
      <c r="J2" s="4" t="s">
        <v>131</v>
      </c>
    </row>
    <row r="3" spans="1:10" x14ac:dyDescent="0.25">
      <c r="A3" t="s">
        <v>132</v>
      </c>
      <c r="B3" t="s">
        <v>7</v>
      </c>
      <c r="C3" t="s">
        <v>132</v>
      </c>
      <c r="D3" t="s">
        <v>130</v>
      </c>
      <c r="E3" t="s">
        <v>6</v>
      </c>
      <c r="F3" t="s">
        <v>130</v>
      </c>
      <c r="G3">
        <v>25</v>
      </c>
      <c r="H3" t="s">
        <v>130</v>
      </c>
      <c r="I3" t="s">
        <v>12</v>
      </c>
      <c r="J3" s="4" t="s">
        <v>131</v>
      </c>
    </row>
    <row r="4" spans="1:10" x14ac:dyDescent="0.25">
      <c r="A4" t="s">
        <v>132</v>
      </c>
      <c r="B4" t="s">
        <v>9</v>
      </c>
      <c r="C4" t="s">
        <v>132</v>
      </c>
      <c r="D4" t="s">
        <v>130</v>
      </c>
      <c r="E4" t="s">
        <v>8</v>
      </c>
      <c r="F4" t="s">
        <v>130</v>
      </c>
      <c r="G4">
        <v>160</v>
      </c>
      <c r="H4" t="s">
        <v>130</v>
      </c>
      <c r="I4" t="s">
        <v>3</v>
      </c>
      <c r="J4" s="4" t="s">
        <v>131</v>
      </c>
    </row>
    <row r="5" spans="1:10" x14ac:dyDescent="0.25">
      <c r="A5" t="s">
        <v>132</v>
      </c>
      <c r="B5" t="s">
        <v>12</v>
      </c>
      <c r="C5" t="s">
        <v>132</v>
      </c>
      <c r="D5" t="s">
        <v>130</v>
      </c>
      <c r="E5" t="s">
        <v>10</v>
      </c>
      <c r="F5" t="s">
        <v>130</v>
      </c>
      <c r="G5" s="3">
        <v>2000</v>
      </c>
      <c r="H5" t="s">
        <v>130</v>
      </c>
      <c r="I5" t="s">
        <v>11</v>
      </c>
      <c r="J5" s="4" t="s">
        <v>131</v>
      </c>
    </row>
    <row r="6" spans="1:10" x14ac:dyDescent="0.25">
      <c r="A6" t="s">
        <v>132</v>
      </c>
      <c r="B6" t="s">
        <v>14</v>
      </c>
      <c r="C6" t="s">
        <v>132</v>
      </c>
      <c r="D6" t="s">
        <v>130</v>
      </c>
      <c r="E6" t="s">
        <v>13</v>
      </c>
      <c r="F6" t="s">
        <v>130</v>
      </c>
      <c r="G6" s="3">
        <v>50</v>
      </c>
      <c r="H6" t="s">
        <v>130</v>
      </c>
      <c r="I6" t="s">
        <v>15</v>
      </c>
      <c r="J6" s="4" t="s">
        <v>131</v>
      </c>
    </row>
    <row r="7" spans="1:10" x14ac:dyDescent="0.25">
      <c r="A7" t="s">
        <v>132</v>
      </c>
      <c r="B7" t="s">
        <v>17</v>
      </c>
      <c r="C7" t="s">
        <v>132</v>
      </c>
      <c r="D7" t="s">
        <v>130</v>
      </c>
      <c r="E7" t="s">
        <v>16</v>
      </c>
      <c r="F7" t="s">
        <v>130</v>
      </c>
      <c r="G7" s="3">
        <v>6</v>
      </c>
      <c r="H7" t="s">
        <v>130</v>
      </c>
      <c r="J7" s="4" t="s">
        <v>131</v>
      </c>
    </row>
    <row r="8" spans="1:10" x14ac:dyDescent="0.25">
      <c r="A8" t="s">
        <v>132</v>
      </c>
      <c r="B8" t="s">
        <v>35</v>
      </c>
      <c r="C8" t="s">
        <v>132</v>
      </c>
      <c r="D8" t="s">
        <v>130</v>
      </c>
      <c r="E8" t="s">
        <v>33</v>
      </c>
      <c r="F8" t="s">
        <v>130</v>
      </c>
      <c r="G8">
        <v>316</v>
      </c>
      <c r="H8" t="s">
        <v>130</v>
      </c>
      <c r="I8" t="s">
        <v>34</v>
      </c>
      <c r="J8" s="4" t="s">
        <v>131</v>
      </c>
    </row>
    <row r="9" spans="1:10" x14ac:dyDescent="0.25">
      <c r="A9" t="s">
        <v>132</v>
      </c>
      <c r="B9" t="s">
        <v>37</v>
      </c>
      <c r="C9" t="s">
        <v>132</v>
      </c>
      <c r="D9" t="s">
        <v>130</v>
      </c>
      <c r="E9" t="s">
        <v>38</v>
      </c>
      <c r="F9" t="s">
        <v>130</v>
      </c>
      <c r="G9" s="3">
        <v>3</v>
      </c>
      <c r="H9" t="s">
        <v>130</v>
      </c>
      <c r="J9" s="4" t="s">
        <v>131</v>
      </c>
    </row>
    <row r="10" spans="1:10" x14ac:dyDescent="0.25">
      <c r="A10" t="s">
        <v>132</v>
      </c>
      <c r="B10" t="s">
        <v>39</v>
      </c>
      <c r="C10" t="s">
        <v>132</v>
      </c>
      <c r="D10" t="s">
        <v>130</v>
      </c>
      <c r="E10" t="s">
        <v>40</v>
      </c>
      <c r="F10" t="s">
        <v>130</v>
      </c>
      <c r="G10">
        <f>4/25000</f>
        <v>1.6000000000000001E-4</v>
      </c>
      <c r="H10" t="s">
        <v>130</v>
      </c>
      <c r="J10" s="4" t="s">
        <v>131</v>
      </c>
    </row>
    <row r="11" spans="1:10" x14ac:dyDescent="0.25">
      <c r="A11" t="s">
        <v>132</v>
      </c>
      <c r="C11" t="s">
        <v>132</v>
      </c>
      <c r="D11" t="s">
        <v>130</v>
      </c>
      <c r="E11" t="s">
        <v>46</v>
      </c>
      <c r="F11" t="s">
        <v>130</v>
      </c>
      <c r="G11">
        <v>1</v>
      </c>
      <c r="H11" t="s">
        <v>130</v>
      </c>
      <c r="J11" s="4" t="s">
        <v>131</v>
      </c>
    </row>
    <row r="12" spans="1:10" x14ac:dyDescent="0.25">
      <c r="A12" t="s">
        <v>132</v>
      </c>
      <c r="B12" t="s">
        <v>71</v>
      </c>
      <c r="C12" t="s">
        <v>132</v>
      </c>
      <c r="D12" t="s">
        <v>130</v>
      </c>
      <c r="E12" t="s">
        <v>72</v>
      </c>
      <c r="F12" t="s">
        <v>130</v>
      </c>
      <c r="G12">
        <v>7820</v>
      </c>
      <c r="H12" t="s">
        <v>130</v>
      </c>
      <c r="I12" t="s">
        <v>115</v>
      </c>
      <c r="J12" s="4" t="s">
        <v>131</v>
      </c>
    </row>
    <row r="13" spans="1:10" x14ac:dyDescent="0.25">
      <c r="A13" t="s">
        <v>132</v>
      </c>
      <c r="C13" t="s">
        <v>132</v>
      </c>
      <c r="D13" t="s">
        <v>130</v>
      </c>
      <c r="E13" t="s">
        <v>105</v>
      </c>
      <c r="F13" t="s">
        <v>130</v>
      </c>
      <c r="G13">
        <v>500</v>
      </c>
      <c r="H13" t="s">
        <v>130</v>
      </c>
      <c r="J13" s="4" t="s">
        <v>131</v>
      </c>
    </row>
  </sheetData>
  <hyperlinks>
    <hyperlink ref="J1" r:id="rId1" xr:uid="{F8D6A2F1-993C-4EFA-985E-F5C1DE8C1348}"/>
    <hyperlink ref="J2:J13" r:id="rId2" display="\\" xr:uid="{7D655DA0-C0F2-4EBC-83F7-FE580D9440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9EA-6FD5-4E1B-9CC3-C90AD57C2B20}">
  <dimension ref="A1:AI23"/>
  <sheetViews>
    <sheetView workbookViewId="0">
      <selection activeCell="S11" sqref="S11"/>
    </sheetView>
  </sheetViews>
  <sheetFormatPr defaultRowHeight="15" x14ac:dyDescent="0.25"/>
  <sheetData>
    <row r="1" spans="1:35" x14ac:dyDescent="0.25">
      <c r="A1" t="s">
        <v>178</v>
      </c>
    </row>
    <row r="2" spans="1:35" ht="48" customHeight="1" x14ac:dyDescent="0.25">
      <c r="A2" s="83"/>
      <c r="B2" s="83" t="s">
        <v>179</v>
      </c>
      <c r="C2" s="83"/>
      <c r="D2" s="83" t="s">
        <v>180</v>
      </c>
      <c r="E2" s="83"/>
      <c r="F2" s="83"/>
      <c r="G2" s="83"/>
      <c r="H2" s="83" t="s">
        <v>181</v>
      </c>
      <c r="I2" s="83"/>
      <c r="J2" s="83" t="s">
        <v>182</v>
      </c>
      <c r="K2" s="83"/>
      <c r="L2" s="83"/>
      <c r="M2" s="83"/>
      <c r="N2" s="83"/>
      <c r="O2" s="83"/>
      <c r="P2" s="83"/>
      <c r="Q2" s="83" t="s">
        <v>183</v>
      </c>
      <c r="R2" s="83"/>
      <c r="S2" s="83"/>
      <c r="T2" s="83"/>
      <c r="U2" s="83"/>
      <c r="V2" s="83"/>
      <c r="W2" s="83"/>
      <c r="X2" s="83"/>
      <c r="Y2" s="83" t="s">
        <v>184</v>
      </c>
      <c r="Z2" s="83"/>
      <c r="AA2" s="83"/>
      <c r="AB2" s="83"/>
      <c r="AC2" s="83"/>
      <c r="AD2" s="83" t="s">
        <v>186</v>
      </c>
      <c r="AE2" s="83"/>
      <c r="AF2" s="83"/>
      <c r="AG2" s="83" t="s">
        <v>188</v>
      </c>
      <c r="AH2" s="83"/>
      <c r="AI2" s="83"/>
    </row>
    <row r="3" spans="1:35" ht="51" customHeight="1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 t="s">
        <v>185</v>
      </c>
      <c r="Z3" s="83"/>
      <c r="AA3" s="83"/>
      <c r="AB3" s="83"/>
      <c r="AC3" s="83"/>
      <c r="AD3" s="83" t="s">
        <v>187</v>
      </c>
      <c r="AE3" s="83"/>
      <c r="AF3" s="83"/>
      <c r="AG3" s="83"/>
      <c r="AH3" s="83"/>
      <c r="AI3" s="83"/>
    </row>
    <row r="4" spans="1:35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</row>
    <row r="5" spans="1:35" ht="72" customHeight="1" x14ac:dyDescent="0.25">
      <c r="A5" s="83" t="s">
        <v>189</v>
      </c>
      <c r="B5" s="81" t="s">
        <v>190</v>
      </c>
      <c r="C5" s="81" t="s">
        <v>192</v>
      </c>
      <c r="D5" s="83" t="s">
        <v>194</v>
      </c>
      <c r="E5" s="83" t="s">
        <v>195</v>
      </c>
      <c r="F5" s="83" t="s">
        <v>196</v>
      </c>
      <c r="G5" s="83" t="s">
        <v>197</v>
      </c>
      <c r="H5" s="81" t="s">
        <v>198</v>
      </c>
      <c r="I5" s="81" t="s">
        <v>200</v>
      </c>
      <c r="J5" s="83">
        <v>4.5999999999999996</v>
      </c>
      <c r="K5" s="83">
        <v>4.8</v>
      </c>
      <c r="L5" s="83">
        <v>5.6</v>
      </c>
      <c r="M5" s="83">
        <v>5.8</v>
      </c>
      <c r="N5" s="83">
        <v>6.8</v>
      </c>
      <c r="O5" s="83">
        <v>8.8000000000000007</v>
      </c>
      <c r="P5" s="83">
        <v>10.9</v>
      </c>
      <c r="Q5" s="83">
        <v>4.5999999999999996</v>
      </c>
      <c r="R5" s="83">
        <v>4.8</v>
      </c>
      <c r="S5" s="83">
        <v>5.6</v>
      </c>
      <c r="T5" s="83">
        <v>5.8</v>
      </c>
      <c r="U5" s="83">
        <v>6.8</v>
      </c>
      <c r="V5" s="83">
        <v>8.8000000000000007</v>
      </c>
      <c r="W5" s="83">
        <v>10.9</v>
      </c>
      <c r="X5" s="83" t="s">
        <v>202</v>
      </c>
      <c r="Y5" s="83" t="s">
        <v>203</v>
      </c>
      <c r="Z5" s="83" t="s">
        <v>204</v>
      </c>
      <c r="AA5" s="83" t="s">
        <v>205</v>
      </c>
      <c r="AB5" s="83" t="s">
        <v>206</v>
      </c>
      <c r="AC5" s="83" t="s">
        <v>207</v>
      </c>
      <c r="AD5" s="83" t="s">
        <v>208</v>
      </c>
      <c r="AE5" s="83" t="s">
        <v>209</v>
      </c>
      <c r="AF5" s="83" t="s">
        <v>210</v>
      </c>
      <c r="AG5" s="83" t="s">
        <v>208</v>
      </c>
      <c r="AH5" s="83" t="s">
        <v>209</v>
      </c>
      <c r="AI5" s="83" t="s">
        <v>210</v>
      </c>
    </row>
    <row r="6" spans="1:35" ht="18" x14ac:dyDescent="0.25">
      <c r="A6" s="83"/>
      <c r="B6" s="81" t="s">
        <v>191</v>
      </c>
      <c r="C6" s="81" t="s">
        <v>193</v>
      </c>
      <c r="D6" s="83"/>
      <c r="E6" s="83"/>
      <c r="F6" s="83"/>
      <c r="G6" s="83"/>
      <c r="H6" s="81" t="s">
        <v>199</v>
      </c>
      <c r="I6" s="81" t="s">
        <v>201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</row>
    <row r="7" spans="1:35" x14ac:dyDescent="0.25">
      <c r="A7" s="81" t="s">
        <v>211</v>
      </c>
      <c r="B7" s="82">
        <v>5</v>
      </c>
      <c r="C7" s="82">
        <v>8</v>
      </c>
      <c r="D7" s="82" t="s">
        <v>50</v>
      </c>
      <c r="E7" s="82" t="s">
        <v>50</v>
      </c>
      <c r="F7" s="82" t="s">
        <v>50</v>
      </c>
      <c r="G7" s="82" t="s">
        <v>50</v>
      </c>
      <c r="H7" s="82">
        <v>19.600000000000001</v>
      </c>
      <c r="I7" s="82">
        <v>14.2</v>
      </c>
      <c r="J7" s="82">
        <v>4.09</v>
      </c>
      <c r="K7" s="82">
        <v>4.09</v>
      </c>
      <c r="L7" s="82">
        <v>5.1100000000000003</v>
      </c>
      <c r="M7" s="82">
        <v>5.1100000000000003</v>
      </c>
      <c r="N7" s="82">
        <v>6.13</v>
      </c>
      <c r="O7" s="82">
        <v>8.18</v>
      </c>
      <c r="P7" s="82">
        <v>10.199999999999999</v>
      </c>
      <c r="Q7" s="82">
        <v>2.73</v>
      </c>
      <c r="R7" s="82">
        <v>2.27</v>
      </c>
      <c r="S7" s="82">
        <v>3.41</v>
      </c>
      <c r="T7" s="82">
        <v>2.84</v>
      </c>
      <c r="U7" s="82">
        <v>3.41</v>
      </c>
      <c r="V7" s="82">
        <v>5.45</v>
      </c>
      <c r="W7" s="82">
        <v>5.68</v>
      </c>
      <c r="X7" s="82" t="s">
        <v>212</v>
      </c>
      <c r="Y7" s="82">
        <v>3.6</v>
      </c>
      <c r="Z7" s="82">
        <v>4</v>
      </c>
      <c r="AA7" s="82">
        <v>4.3</v>
      </c>
      <c r="AB7" s="82">
        <v>4</v>
      </c>
      <c r="AC7" s="82">
        <v>4.9000000000000004</v>
      </c>
      <c r="AD7" s="82">
        <v>0.96</v>
      </c>
      <c r="AE7" s="82">
        <v>1.1399999999999999</v>
      </c>
      <c r="AF7" s="82">
        <v>1.3</v>
      </c>
      <c r="AG7" s="82">
        <v>4.68</v>
      </c>
      <c r="AH7" s="82">
        <v>5.59</v>
      </c>
      <c r="AI7" s="82">
        <v>6.37</v>
      </c>
    </row>
    <row r="8" spans="1:35" x14ac:dyDescent="0.25">
      <c r="A8" s="81" t="s">
        <v>213</v>
      </c>
      <c r="B8" s="82">
        <v>6</v>
      </c>
      <c r="C8" s="82">
        <v>10</v>
      </c>
      <c r="D8" s="82" t="s">
        <v>50</v>
      </c>
      <c r="E8" s="82" t="s">
        <v>50</v>
      </c>
      <c r="F8" s="82" t="s">
        <v>50</v>
      </c>
      <c r="G8" s="82" t="s">
        <v>50</v>
      </c>
      <c r="H8" s="82">
        <v>28.3</v>
      </c>
      <c r="I8" s="82">
        <v>20.100000000000001</v>
      </c>
      <c r="J8" s="82">
        <v>5.79</v>
      </c>
      <c r="K8" s="82">
        <v>5.79</v>
      </c>
      <c r="L8" s="82">
        <v>7.24</v>
      </c>
      <c r="M8" s="82">
        <v>7.24</v>
      </c>
      <c r="N8" s="82">
        <v>8.68</v>
      </c>
      <c r="O8" s="82">
        <v>11.6</v>
      </c>
      <c r="P8" s="82">
        <v>14.5</v>
      </c>
      <c r="Q8" s="82">
        <v>3.86</v>
      </c>
      <c r="R8" s="82">
        <v>3.22</v>
      </c>
      <c r="S8" s="82">
        <v>4.82</v>
      </c>
      <c r="T8" s="82">
        <v>4.0199999999999996</v>
      </c>
      <c r="U8" s="82">
        <v>4.82</v>
      </c>
      <c r="V8" s="82">
        <v>7.72</v>
      </c>
      <c r="W8" s="82">
        <v>8.0399999999999991</v>
      </c>
      <c r="X8" s="82" t="s">
        <v>212</v>
      </c>
      <c r="Y8" s="82">
        <v>4.32</v>
      </c>
      <c r="Z8" s="82">
        <v>4.8</v>
      </c>
      <c r="AA8" s="82">
        <v>5.16</v>
      </c>
      <c r="AB8" s="82">
        <v>4.8</v>
      </c>
      <c r="AC8" s="82">
        <v>5.88</v>
      </c>
      <c r="AD8" s="82">
        <v>1.1499999999999999</v>
      </c>
      <c r="AE8" s="82">
        <v>1.37</v>
      </c>
      <c r="AF8" s="82">
        <v>1.56</v>
      </c>
      <c r="AG8" s="82">
        <v>5.85</v>
      </c>
      <c r="AH8" s="82">
        <v>6.99</v>
      </c>
      <c r="AI8" s="82">
        <v>7.96</v>
      </c>
    </row>
    <row r="9" spans="1:35" x14ac:dyDescent="0.25">
      <c r="A9" s="81" t="s">
        <v>214</v>
      </c>
      <c r="B9" s="82">
        <v>7</v>
      </c>
      <c r="C9" s="82">
        <v>11</v>
      </c>
      <c r="D9" s="82" t="s">
        <v>50</v>
      </c>
      <c r="E9" s="82" t="s">
        <v>50</v>
      </c>
      <c r="F9" s="82" t="s">
        <v>50</v>
      </c>
      <c r="G9" s="82" t="s">
        <v>50</v>
      </c>
      <c r="H9" s="82">
        <v>38.5</v>
      </c>
      <c r="I9" s="82">
        <v>28.9</v>
      </c>
      <c r="J9" s="82">
        <v>8.32</v>
      </c>
      <c r="K9" s="82">
        <v>8.32</v>
      </c>
      <c r="L9" s="82">
        <v>10.4</v>
      </c>
      <c r="M9" s="82">
        <v>10.4</v>
      </c>
      <c r="N9" s="82">
        <v>12.5</v>
      </c>
      <c r="O9" s="82">
        <v>16.600000000000001</v>
      </c>
      <c r="P9" s="82">
        <v>20.8</v>
      </c>
      <c r="Q9" s="82">
        <v>5.55</v>
      </c>
      <c r="R9" s="82">
        <v>4.62</v>
      </c>
      <c r="S9" s="82">
        <v>6.94</v>
      </c>
      <c r="T9" s="82">
        <v>5.78</v>
      </c>
      <c r="U9" s="82">
        <v>6.94</v>
      </c>
      <c r="V9" s="82">
        <v>11.1</v>
      </c>
      <c r="W9" s="82">
        <v>11.6</v>
      </c>
      <c r="X9" s="82" t="s">
        <v>212</v>
      </c>
      <c r="Y9" s="82">
        <v>5.04</v>
      </c>
      <c r="Z9" s="82">
        <v>5.6</v>
      </c>
      <c r="AA9" s="82">
        <v>6.02</v>
      </c>
      <c r="AB9" s="82">
        <v>5.6</v>
      </c>
      <c r="AC9" s="82">
        <v>6.86</v>
      </c>
      <c r="AD9" s="82">
        <v>1.34</v>
      </c>
      <c r="AE9" s="82">
        <v>1.6</v>
      </c>
      <c r="AF9" s="82">
        <v>1.82</v>
      </c>
      <c r="AG9" s="82">
        <v>6.43</v>
      </c>
      <c r="AH9" s="82">
        <v>7.68</v>
      </c>
      <c r="AI9" s="82">
        <v>8.76</v>
      </c>
    </row>
    <row r="10" spans="1:35" x14ac:dyDescent="0.25">
      <c r="A10" s="81" t="s">
        <v>215</v>
      </c>
      <c r="B10" s="82">
        <v>8</v>
      </c>
      <c r="C10" s="82">
        <v>13</v>
      </c>
      <c r="D10" s="82" t="s">
        <v>50</v>
      </c>
      <c r="E10" s="82" t="s">
        <v>50</v>
      </c>
      <c r="F10" s="82" t="s">
        <v>50</v>
      </c>
      <c r="G10" s="82" t="s">
        <v>50</v>
      </c>
      <c r="H10" s="82">
        <v>50.3</v>
      </c>
      <c r="I10" s="82">
        <v>36.6</v>
      </c>
      <c r="J10" s="82">
        <v>10.5</v>
      </c>
      <c r="K10" s="82">
        <v>10.5</v>
      </c>
      <c r="L10" s="82">
        <v>13.2</v>
      </c>
      <c r="M10" s="82">
        <v>13.2</v>
      </c>
      <c r="N10" s="82">
        <v>15.8</v>
      </c>
      <c r="O10" s="82">
        <v>21.1</v>
      </c>
      <c r="P10" s="82">
        <v>26.4</v>
      </c>
      <c r="Q10" s="82">
        <v>7.03</v>
      </c>
      <c r="R10" s="82">
        <v>5.86</v>
      </c>
      <c r="S10" s="82">
        <v>8.7799999999999994</v>
      </c>
      <c r="T10" s="82">
        <v>7.32</v>
      </c>
      <c r="U10" s="82">
        <v>8.7799999999999994</v>
      </c>
      <c r="V10" s="82">
        <v>14.1</v>
      </c>
      <c r="W10" s="82">
        <v>14.6</v>
      </c>
      <c r="X10" s="82" t="s">
        <v>212</v>
      </c>
      <c r="Y10" s="82">
        <v>5.76</v>
      </c>
      <c r="Z10" s="82">
        <v>6.4</v>
      </c>
      <c r="AA10" s="82">
        <v>6.88</v>
      </c>
      <c r="AB10" s="82">
        <v>6.4</v>
      </c>
      <c r="AC10" s="82">
        <v>7.84</v>
      </c>
      <c r="AD10" s="82">
        <v>1.53</v>
      </c>
      <c r="AE10" s="82">
        <v>1.83</v>
      </c>
      <c r="AF10" s="82">
        <v>2.08</v>
      </c>
      <c r="AG10" s="82">
        <v>7.6</v>
      </c>
      <c r="AH10" s="82">
        <v>9.08</v>
      </c>
      <c r="AI10" s="82">
        <v>10.35</v>
      </c>
    </row>
    <row r="11" spans="1:35" x14ac:dyDescent="0.25">
      <c r="A11" s="81" t="s">
        <v>216</v>
      </c>
      <c r="B11" s="82">
        <v>10</v>
      </c>
      <c r="C11" s="82">
        <v>16</v>
      </c>
      <c r="D11" s="82" t="s">
        <v>50</v>
      </c>
      <c r="E11" s="82" t="s">
        <v>50</v>
      </c>
      <c r="F11" s="82" t="s">
        <v>50</v>
      </c>
      <c r="G11" s="82" t="s">
        <v>50</v>
      </c>
      <c r="H11" s="82">
        <v>78.5</v>
      </c>
      <c r="I11" s="82">
        <v>58</v>
      </c>
      <c r="J11" s="82">
        <v>16.7</v>
      </c>
      <c r="K11" s="82">
        <v>16.7</v>
      </c>
      <c r="L11" s="82">
        <v>20.9</v>
      </c>
      <c r="M11" s="82">
        <v>20.9</v>
      </c>
      <c r="N11" s="82">
        <v>25.1</v>
      </c>
      <c r="O11" s="82">
        <v>33.4</v>
      </c>
      <c r="P11" s="82">
        <v>41.8</v>
      </c>
      <c r="Q11" s="82">
        <v>11.1</v>
      </c>
      <c r="R11" s="82">
        <v>9.2799999999999994</v>
      </c>
      <c r="S11" s="82">
        <v>13.9</v>
      </c>
      <c r="T11" s="82">
        <v>11.6</v>
      </c>
      <c r="U11" s="82">
        <v>13.9</v>
      </c>
      <c r="V11" s="82">
        <v>22.3</v>
      </c>
      <c r="W11" s="82">
        <v>23.2</v>
      </c>
      <c r="X11" s="82" t="s">
        <v>212</v>
      </c>
      <c r="Y11" s="82">
        <v>7.2</v>
      </c>
      <c r="Z11" s="82">
        <v>8</v>
      </c>
      <c r="AA11" s="82">
        <v>8.6</v>
      </c>
      <c r="AB11" s="82">
        <v>8</v>
      </c>
      <c r="AC11" s="82">
        <v>9.8000000000000007</v>
      </c>
      <c r="AD11" s="82">
        <v>1.91</v>
      </c>
      <c r="AE11" s="82">
        <v>2.2799999999999998</v>
      </c>
      <c r="AF11" s="82">
        <v>2.6</v>
      </c>
      <c r="AG11" s="82">
        <v>9.36</v>
      </c>
      <c r="AH11" s="82">
        <v>11.18</v>
      </c>
      <c r="AI11" s="82">
        <v>12.74</v>
      </c>
    </row>
    <row r="12" spans="1:35" x14ac:dyDescent="0.25">
      <c r="A12" s="81" t="s">
        <v>217</v>
      </c>
      <c r="B12" s="82">
        <v>12</v>
      </c>
      <c r="C12" s="82">
        <v>18</v>
      </c>
      <c r="D12" s="82">
        <v>13</v>
      </c>
      <c r="E12" s="82">
        <v>15</v>
      </c>
      <c r="F12" s="82" t="s">
        <v>218</v>
      </c>
      <c r="G12" s="82" t="s">
        <v>219</v>
      </c>
      <c r="H12" s="82">
        <v>113</v>
      </c>
      <c r="I12" s="82">
        <v>84.3</v>
      </c>
      <c r="J12" s="82">
        <v>24.3</v>
      </c>
      <c r="K12" s="82">
        <v>24.3</v>
      </c>
      <c r="L12" s="82">
        <v>30.3</v>
      </c>
      <c r="M12" s="82">
        <v>30.3</v>
      </c>
      <c r="N12" s="82">
        <v>36.4</v>
      </c>
      <c r="O12" s="82">
        <v>48.6</v>
      </c>
      <c r="P12" s="82">
        <v>60.7</v>
      </c>
      <c r="Q12" s="82">
        <v>16.2</v>
      </c>
      <c r="R12" s="82">
        <v>13.5</v>
      </c>
      <c r="S12" s="82">
        <v>20.2</v>
      </c>
      <c r="T12" s="82">
        <v>16.899999999999999</v>
      </c>
      <c r="U12" s="82">
        <v>20.2</v>
      </c>
      <c r="V12" s="82">
        <v>32.4</v>
      </c>
      <c r="W12" s="82">
        <v>33.700000000000003</v>
      </c>
      <c r="X12" s="82" t="s">
        <v>212</v>
      </c>
      <c r="Y12" s="82">
        <v>8.64</v>
      </c>
      <c r="Z12" s="82">
        <v>9.6</v>
      </c>
      <c r="AA12" s="82">
        <v>10.32</v>
      </c>
      <c r="AB12" s="82">
        <v>9.6</v>
      </c>
      <c r="AC12" s="82">
        <v>11.76</v>
      </c>
      <c r="AD12" s="82">
        <v>2.29</v>
      </c>
      <c r="AE12" s="82">
        <v>2.74</v>
      </c>
      <c r="AF12" s="82">
        <v>3.12</v>
      </c>
      <c r="AG12" s="82">
        <v>10.53</v>
      </c>
      <c r="AH12" s="82">
        <v>12.57</v>
      </c>
      <c r="AI12" s="82">
        <v>14.33</v>
      </c>
    </row>
    <row r="13" spans="1:35" x14ac:dyDescent="0.25">
      <c r="A13" s="81" t="s">
        <v>220</v>
      </c>
      <c r="B13" s="82">
        <v>14</v>
      </c>
      <c r="C13" s="82">
        <v>21</v>
      </c>
      <c r="D13" s="82">
        <v>15</v>
      </c>
      <c r="E13" s="82">
        <v>17</v>
      </c>
      <c r="F13" s="82" t="s">
        <v>221</v>
      </c>
      <c r="G13" s="82" t="s">
        <v>222</v>
      </c>
      <c r="H13" s="82">
        <v>154</v>
      </c>
      <c r="I13" s="82">
        <v>115</v>
      </c>
      <c r="J13" s="82">
        <v>33.1</v>
      </c>
      <c r="K13" s="82">
        <v>33.1</v>
      </c>
      <c r="L13" s="82">
        <v>41.4</v>
      </c>
      <c r="M13" s="82">
        <v>41.4</v>
      </c>
      <c r="N13" s="82">
        <v>49.7</v>
      </c>
      <c r="O13" s="82">
        <v>66.2</v>
      </c>
      <c r="P13" s="82">
        <v>82.8</v>
      </c>
      <c r="Q13" s="82">
        <v>22.1</v>
      </c>
      <c r="R13" s="82">
        <v>18.399999999999999</v>
      </c>
      <c r="S13" s="82">
        <v>27.6</v>
      </c>
      <c r="T13" s="82">
        <v>23</v>
      </c>
      <c r="U13" s="82">
        <v>27.6</v>
      </c>
      <c r="V13" s="82">
        <v>44.2</v>
      </c>
      <c r="W13" s="82">
        <v>46</v>
      </c>
      <c r="X13" s="82" t="s">
        <v>212</v>
      </c>
      <c r="Y13" s="82">
        <v>10.08</v>
      </c>
      <c r="Z13" s="82">
        <v>11.2</v>
      </c>
      <c r="AA13" s="82">
        <v>12.04</v>
      </c>
      <c r="AB13" s="82">
        <v>11.2</v>
      </c>
      <c r="AC13" s="82">
        <v>13.72</v>
      </c>
      <c r="AD13" s="82">
        <v>2.68</v>
      </c>
      <c r="AE13" s="82">
        <v>3.2</v>
      </c>
      <c r="AF13" s="82">
        <v>3.64</v>
      </c>
      <c r="AG13" s="82">
        <v>12.28</v>
      </c>
      <c r="AH13" s="82">
        <v>14.67</v>
      </c>
      <c r="AI13" s="82">
        <v>16.72</v>
      </c>
    </row>
    <row r="14" spans="1:35" x14ac:dyDescent="0.25">
      <c r="A14" s="81" t="s">
        <v>223</v>
      </c>
      <c r="B14" s="82">
        <v>16</v>
      </c>
      <c r="C14" s="82">
        <v>24</v>
      </c>
      <c r="D14" s="82">
        <v>18</v>
      </c>
      <c r="E14" s="82">
        <v>20</v>
      </c>
      <c r="F14" s="82" t="s">
        <v>224</v>
      </c>
      <c r="G14" s="82" t="s">
        <v>225</v>
      </c>
      <c r="H14" s="82">
        <v>201</v>
      </c>
      <c r="I14" s="82">
        <v>157</v>
      </c>
      <c r="J14" s="82">
        <v>45.2</v>
      </c>
      <c r="K14" s="82">
        <v>45.2</v>
      </c>
      <c r="L14" s="82">
        <v>56.5</v>
      </c>
      <c r="M14" s="82">
        <v>56.5</v>
      </c>
      <c r="N14" s="82">
        <v>67.8</v>
      </c>
      <c r="O14" s="82">
        <v>90.4</v>
      </c>
      <c r="P14" s="82">
        <v>113</v>
      </c>
      <c r="Q14" s="82">
        <v>30.1</v>
      </c>
      <c r="R14" s="82">
        <v>25.1</v>
      </c>
      <c r="S14" s="82">
        <v>37.700000000000003</v>
      </c>
      <c r="T14" s="82">
        <v>31.4</v>
      </c>
      <c r="U14" s="82">
        <v>37.700000000000003</v>
      </c>
      <c r="V14" s="82">
        <v>60.3</v>
      </c>
      <c r="W14" s="82">
        <v>62.8</v>
      </c>
      <c r="X14" s="82" t="s">
        <v>212</v>
      </c>
      <c r="Y14" s="82">
        <v>11.52</v>
      </c>
      <c r="Z14" s="82">
        <v>12.8</v>
      </c>
      <c r="AA14" s="82">
        <v>13.76</v>
      </c>
      <c r="AB14" s="82">
        <v>12.8</v>
      </c>
      <c r="AC14" s="82">
        <v>15.68</v>
      </c>
      <c r="AD14" s="82">
        <v>3.06</v>
      </c>
      <c r="AE14" s="82">
        <v>3.65</v>
      </c>
      <c r="AF14" s="82">
        <v>4.16</v>
      </c>
      <c r="AG14" s="82">
        <v>14.04</v>
      </c>
      <c r="AH14" s="82">
        <v>16.77</v>
      </c>
      <c r="AI14" s="82">
        <v>19.11</v>
      </c>
    </row>
    <row r="15" spans="1:35" x14ac:dyDescent="0.25">
      <c r="A15" s="81" t="s">
        <v>226</v>
      </c>
      <c r="B15" s="82">
        <v>18</v>
      </c>
      <c r="C15" s="82">
        <v>27</v>
      </c>
      <c r="D15" s="82">
        <v>20</v>
      </c>
      <c r="E15" s="82">
        <v>22</v>
      </c>
      <c r="F15" s="82" t="s">
        <v>227</v>
      </c>
      <c r="G15" s="82" t="s">
        <v>228</v>
      </c>
      <c r="H15" s="82">
        <v>254</v>
      </c>
      <c r="I15" s="82">
        <v>192</v>
      </c>
      <c r="J15" s="82">
        <v>55.3</v>
      </c>
      <c r="K15" s="82">
        <v>55.3</v>
      </c>
      <c r="L15" s="82">
        <v>69.099999999999994</v>
      </c>
      <c r="M15" s="82">
        <v>69.099999999999994</v>
      </c>
      <c r="N15" s="82">
        <v>82.9</v>
      </c>
      <c r="O15" s="82">
        <v>110.6</v>
      </c>
      <c r="P15" s="82">
        <v>138.19999999999999</v>
      </c>
      <c r="Q15" s="82">
        <v>36.9</v>
      </c>
      <c r="R15" s="82">
        <v>30.7</v>
      </c>
      <c r="S15" s="82">
        <v>46.1</v>
      </c>
      <c r="T15" s="82">
        <v>38.4</v>
      </c>
      <c r="U15" s="82">
        <v>46.1</v>
      </c>
      <c r="V15" s="82">
        <v>73.7</v>
      </c>
      <c r="W15" s="82">
        <v>76.8</v>
      </c>
      <c r="X15" s="82" t="s">
        <v>212</v>
      </c>
      <c r="Y15" s="82">
        <v>12.96</v>
      </c>
      <c r="Z15" s="82">
        <v>14.4</v>
      </c>
      <c r="AA15" s="82">
        <v>15.48</v>
      </c>
      <c r="AB15" s="82">
        <v>14.4</v>
      </c>
      <c r="AC15" s="82">
        <v>17.64</v>
      </c>
      <c r="AD15" s="82">
        <v>3.44</v>
      </c>
      <c r="AE15" s="82">
        <v>4.1100000000000003</v>
      </c>
      <c r="AF15" s="82">
        <v>4.6900000000000004</v>
      </c>
      <c r="AG15" s="82">
        <v>15.79</v>
      </c>
      <c r="AH15" s="82">
        <v>18.86</v>
      </c>
      <c r="AI15" s="82">
        <v>21.49</v>
      </c>
    </row>
    <row r="16" spans="1:35" x14ac:dyDescent="0.25">
      <c r="A16" s="81" t="s">
        <v>229</v>
      </c>
      <c r="B16" s="82">
        <v>20</v>
      </c>
      <c r="C16" s="82">
        <v>30</v>
      </c>
      <c r="D16" s="82">
        <v>22</v>
      </c>
      <c r="E16" s="82">
        <v>24</v>
      </c>
      <c r="F16" s="82" t="s">
        <v>230</v>
      </c>
      <c r="G16" s="82" t="s">
        <v>231</v>
      </c>
      <c r="H16" s="82">
        <v>314</v>
      </c>
      <c r="I16" s="82">
        <v>245</v>
      </c>
      <c r="J16" s="82">
        <v>70.599999999999994</v>
      </c>
      <c r="K16" s="82">
        <v>70.599999999999994</v>
      </c>
      <c r="L16" s="82">
        <v>88.2</v>
      </c>
      <c r="M16" s="82">
        <v>88.2</v>
      </c>
      <c r="N16" s="82">
        <v>105.8</v>
      </c>
      <c r="O16" s="82">
        <v>141.1</v>
      </c>
      <c r="P16" s="82">
        <v>176.4</v>
      </c>
      <c r="Q16" s="82">
        <v>47</v>
      </c>
      <c r="R16" s="82">
        <v>39.200000000000003</v>
      </c>
      <c r="S16" s="82">
        <v>58.8</v>
      </c>
      <c r="T16" s="82">
        <v>49</v>
      </c>
      <c r="U16" s="82">
        <v>58.8</v>
      </c>
      <c r="V16" s="82">
        <v>94.1</v>
      </c>
      <c r="W16" s="82">
        <v>98</v>
      </c>
      <c r="X16" s="82" t="s">
        <v>212</v>
      </c>
      <c r="Y16" s="82">
        <v>14.4</v>
      </c>
      <c r="Z16" s="82">
        <v>16</v>
      </c>
      <c r="AA16" s="82">
        <v>17.2</v>
      </c>
      <c r="AB16" s="82">
        <v>16</v>
      </c>
      <c r="AC16" s="82">
        <v>19.600000000000001</v>
      </c>
      <c r="AD16" s="82">
        <v>3.82</v>
      </c>
      <c r="AE16" s="82">
        <v>4.57</v>
      </c>
      <c r="AF16" s="82">
        <v>5.21</v>
      </c>
      <c r="AG16" s="82">
        <v>17.55</v>
      </c>
      <c r="AH16" s="82">
        <v>20.96</v>
      </c>
      <c r="AI16" s="82">
        <v>23.88</v>
      </c>
    </row>
    <row r="17" spans="1:35" x14ac:dyDescent="0.25">
      <c r="A17" s="81" t="s">
        <v>232</v>
      </c>
      <c r="B17" s="82">
        <v>22</v>
      </c>
      <c r="C17" s="82">
        <v>34</v>
      </c>
      <c r="D17" s="82">
        <v>24</v>
      </c>
      <c r="E17" s="82">
        <v>26</v>
      </c>
      <c r="F17" s="82" t="s">
        <v>233</v>
      </c>
      <c r="G17" s="82" t="s">
        <v>234</v>
      </c>
      <c r="H17" s="82">
        <v>380</v>
      </c>
      <c r="I17" s="82">
        <v>303</v>
      </c>
      <c r="J17" s="82">
        <v>87.3</v>
      </c>
      <c r="K17" s="82">
        <v>87.3</v>
      </c>
      <c r="L17" s="82">
        <v>109.1</v>
      </c>
      <c r="M17" s="82">
        <v>109.1</v>
      </c>
      <c r="N17" s="82">
        <v>130.9</v>
      </c>
      <c r="O17" s="82">
        <v>174.5</v>
      </c>
      <c r="P17" s="82">
        <v>218.2</v>
      </c>
      <c r="Q17" s="82">
        <v>58.2</v>
      </c>
      <c r="R17" s="82">
        <v>48.5</v>
      </c>
      <c r="S17" s="82">
        <v>72.7</v>
      </c>
      <c r="T17" s="82">
        <v>60.6</v>
      </c>
      <c r="U17" s="82">
        <v>72.7</v>
      </c>
      <c r="V17" s="82">
        <v>116.4</v>
      </c>
      <c r="W17" s="82">
        <v>121.2</v>
      </c>
      <c r="X17" s="82" t="s">
        <v>212</v>
      </c>
      <c r="Y17" s="82">
        <v>15.84</v>
      </c>
      <c r="Z17" s="82">
        <v>17.600000000000001</v>
      </c>
      <c r="AA17" s="82">
        <v>18.920000000000002</v>
      </c>
      <c r="AB17" s="82">
        <v>17.600000000000001</v>
      </c>
      <c r="AC17" s="82">
        <v>21.56</v>
      </c>
      <c r="AD17" s="82">
        <v>4.21</v>
      </c>
      <c r="AE17" s="82">
        <v>5.03</v>
      </c>
      <c r="AF17" s="82">
        <v>5.73</v>
      </c>
      <c r="AG17" s="82">
        <v>19.89</v>
      </c>
      <c r="AH17" s="82">
        <v>23.75</v>
      </c>
      <c r="AI17" s="82">
        <v>27.07</v>
      </c>
    </row>
    <row r="18" spans="1:35" x14ac:dyDescent="0.25">
      <c r="A18" s="81" t="s">
        <v>235</v>
      </c>
      <c r="B18" s="82">
        <v>24</v>
      </c>
      <c r="C18" s="82">
        <v>36</v>
      </c>
      <c r="D18" s="82">
        <v>26</v>
      </c>
      <c r="E18" s="82">
        <v>30</v>
      </c>
      <c r="F18" s="82" t="s">
        <v>236</v>
      </c>
      <c r="G18" s="82" t="s">
        <v>237</v>
      </c>
      <c r="H18" s="82">
        <v>452</v>
      </c>
      <c r="I18" s="82">
        <v>353</v>
      </c>
      <c r="J18" s="82">
        <v>101.7</v>
      </c>
      <c r="K18" s="82">
        <v>101.7</v>
      </c>
      <c r="L18" s="82">
        <v>127.1</v>
      </c>
      <c r="M18" s="82">
        <v>127.1</v>
      </c>
      <c r="N18" s="82">
        <v>152.5</v>
      </c>
      <c r="O18" s="82">
        <v>203.3</v>
      </c>
      <c r="P18" s="82">
        <v>254.2</v>
      </c>
      <c r="Q18" s="82">
        <v>67.8</v>
      </c>
      <c r="R18" s="82">
        <v>56.5</v>
      </c>
      <c r="S18" s="82">
        <v>84.7</v>
      </c>
      <c r="T18" s="82">
        <v>70.599999999999994</v>
      </c>
      <c r="U18" s="82">
        <v>84.7</v>
      </c>
      <c r="V18" s="82">
        <v>135.6</v>
      </c>
      <c r="W18" s="82">
        <v>141.19999999999999</v>
      </c>
      <c r="X18" s="82" t="s">
        <v>212</v>
      </c>
      <c r="Y18" s="82">
        <v>17.28</v>
      </c>
      <c r="Z18" s="82">
        <v>19.2</v>
      </c>
      <c r="AA18" s="82">
        <v>20.64</v>
      </c>
      <c r="AB18" s="82">
        <v>19.2</v>
      </c>
      <c r="AC18" s="82">
        <v>23.52</v>
      </c>
      <c r="AD18" s="82">
        <v>4.59</v>
      </c>
      <c r="AE18" s="82">
        <v>5.48</v>
      </c>
      <c r="AF18" s="82">
        <v>6.25</v>
      </c>
      <c r="AG18" s="82">
        <v>21.05</v>
      </c>
      <c r="AH18" s="82">
        <v>25.15</v>
      </c>
      <c r="AI18" s="82">
        <v>28.66</v>
      </c>
    </row>
    <row r="19" spans="1:35" x14ac:dyDescent="0.25">
      <c r="A19" s="81" t="s">
        <v>103</v>
      </c>
      <c r="B19" s="82">
        <v>27</v>
      </c>
      <c r="C19" s="82">
        <v>41</v>
      </c>
      <c r="D19" s="82">
        <v>30</v>
      </c>
      <c r="E19" s="82">
        <v>35</v>
      </c>
      <c r="F19" s="82" t="s">
        <v>238</v>
      </c>
      <c r="G19" s="82" t="s">
        <v>239</v>
      </c>
      <c r="H19" s="82">
        <v>573</v>
      </c>
      <c r="I19" s="82">
        <v>459</v>
      </c>
      <c r="J19" s="82">
        <v>132.19999999999999</v>
      </c>
      <c r="K19" s="82">
        <v>132.19999999999999</v>
      </c>
      <c r="L19" s="82">
        <v>165.2</v>
      </c>
      <c r="M19" s="82">
        <v>165.2</v>
      </c>
      <c r="N19" s="82">
        <v>198.3</v>
      </c>
      <c r="O19" s="82">
        <v>264.39999999999998</v>
      </c>
      <c r="P19" s="82">
        <v>330.5</v>
      </c>
      <c r="Q19" s="82">
        <v>88.1</v>
      </c>
      <c r="R19" s="82">
        <v>73.400000000000006</v>
      </c>
      <c r="S19" s="82">
        <v>110.2</v>
      </c>
      <c r="T19" s="82">
        <v>91.8</v>
      </c>
      <c r="U19" s="82">
        <v>110.2</v>
      </c>
      <c r="V19" s="82">
        <v>176.3</v>
      </c>
      <c r="W19" s="82">
        <v>183.6</v>
      </c>
      <c r="X19" s="82" t="s">
        <v>212</v>
      </c>
      <c r="Y19" s="82">
        <v>19.440000000000001</v>
      </c>
      <c r="Z19" s="82">
        <v>21.6</v>
      </c>
      <c r="AA19" s="82">
        <v>23.22</v>
      </c>
      <c r="AB19" s="82">
        <v>21.6</v>
      </c>
      <c r="AC19" s="82">
        <v>26.46</v>
      </c>
      <c r="AD19" s="82">
        <v>5.16</v>
      </c>
      <c r="AE19" s="82">
        <v>6.17</v>
      </c>
      <c r="AF19" s="82">
        <v>7.03</v>
      </c>
      <c r="AG19" s="82">
        <v>23.98</v>
      </c>
      <c r="AH19" s="82">
        <v>28.64</v>
      </c>
      <c r="AI19" s="82">
        <v>32.64</v>
      </c>
    </row>
    <row r="20" spans="1:35" x14ac:dyDescent="0.25">
      <c r="A20" s="81" t="s">
        <v>240</v>
      </c>
      <c r="B20" s="82">
        <v>30</v>
      </c>
      <c r="C20" s="82">
        <v>46</v>
      </c>
      <c r="D20" s="82">
        <v>33</v>
      </c>
      <c r="E20" s="82">
        <v>38</v>
      </c>
      <c r="F20" s="82" t="s">
        <v>241</v>
      </c>
      <c r="G20" s="82" t="s">
        <v>242</v>
      </c>
      <c r="H20" s="82">
        <v>707</v>
      </c>
      <c r="I20" s="82">
        <v>561</v>
      </c>
      <c r="J20" s="82">
        <v>161.6</v>
      </c>
      <c r="K20" s="82">
        <v>161.6</v>
      </c>
      <c r="L20" s="82">
        <v>202</v>
      </c>
      <c r="M20" s="82">
        <v>202</v>
      </c>
      <c r="N20" s="82">
        <v>242.4</v>
      </c>
      <c r="O20" s="82">
        <v>323.10000000000002</v>
      </c>
      <c r="P20" s="82">
        <v>403.9</v>
      </c>
      <c r="Q20" s="82">
        <v>107.7</v>
      </c>
      <c r="R20" s="82">
        <v>89.8</v>
      </c>
      <c r="S20" s="82">
        <v>134.6</v>
      </c>
      <c r="T20" s="82">
        <v>112.2</v>
      </c>
      <c r="U20" s="82">
        <v>134.6</v>
      </c>
      <c r="V20" s="82">
        <v>215.4</v>
      </c>
      <c r="W20" s="82">
        <v>224.4</v>
      </c>
      <c r="X20" s="82" t="s">
        <v>212</v>
      </c>
      <c r="Y20" s="82">
        <v>21.6</v>
      </c>
      <c r="Z20" s="82">
        <v>24</v>
      </c>
      <c r="AA20" s="82">
        <v>25.8</v>
      </c>
      <c r="AB20" s="82">
        <v>24</v>
      </c>
      <c r="AC20" s="82">
        <v>29.4</v>
      </c>
      <c r="AD20" s="82">
        <v>5.74</v>
      </c>
      <c r="AE20" s="82">
        <v>6.85</v>
      </c>
      <c r="AF20" s="82">
        <v>7.81</v>
      </c>
      <c r="AG20" s="82">
        <v>26.9</v>
      </c>
      <c r="AH20" s="82">
        <v>32.130000000000003</v>
      </c>
      <c r="AI20" s="82">
        <v>36.619999999999997</v>
      </c>
    </row>
    <row r="21" spans="1:35" x14ac:dyDescent="0.25">
      <c r="A21" s="81" t="s">
        <v>243</v>
      </c>
      <c r="B21" s="82">
        <v>33</v>
      </c>
      <c r="C21" s="82">
        <v>50</v>
      </c>
      <c r="D21" s="82">
        <v>36</v>
      </c>
      <c r="E21" s="82">
        <v>41</v>
      </c>
      <c r="F21" s="82" t="s">
        <v>244</v>
      </c>
      <c r="G21" s="82" t="s">
        <v>245</v>
      </c>
      <c r="H21" s="82">
        <v>855</v>
      </c>
      <c r="I21" s="82">
        <v>694</v>
      </c>
      <c r="J21" s="82">
        <v>199.9</v>
      </c>
      <c r="K21" s="82">
        <v>199.9</v>
      </c>
      <c r="L21" s="82">
        <v>249.8</v>
      </c>
      <c r="M21" s="82">
        <v>249.8</v>
      </c>
      <c r="N21" s="82">
        <v>299.8</v>
      </c>
      <c r="O21" s="82">
        <v>399.7</v>
      </c>
      <c r="P21" s="82">
        <v>499.7</v>
      </c>
      <c r="Q21" s="82">
        <v>133.19999999999999</v>
      </c>
      <c r="R21" s="82">
        <v>111</v>
      </c>
      <c r="S21" s="82">
        <v>166.6</v>
      </c>
      <c r="T21" s="82">
        <v>138.80000000000001</v>
      </c>
      <c r="U21" s="82">
        <v>166.6</v>
      </c>
      <c r="V21" s="82">
        <v>266.5</v>
      </c>
      <c r="W21" s="82">
        <v>277.60000000000002</v>
      </c>
      <c r="X21" s="82" t="s">
        <v>212</v>
      </c>
      <c r="Y21" s="82">
        <v>23.76</v>
      </c>
      <c r="Z21" s="82">
        <v>26.4</v>
      </c>
      <c r="AA21" s="82">
        <v>28.38</v>
      </c>
      <c r="AB21" s="82">
        <v>26.4</v>
      </c>
      <c r="AC21" s="82">
        <v>32.340000000000003</v>
      </c>
      <c r="AD21" s="82">
        <v>6.31</v>
      </c>
      <c r="AE21" s="82">
        <v>7.54</v>
      </c>
      <c r="AF21" s="82">
        <v>8.59</v>
      </c>
      <c r="AG21" s="82">
        <v>29.24</v>
      </c>
      <c r="AH21" s="82">
        <v>34.93</v>
      </c>
      <c r="AI21" s="82">
        <v>39.799999999999997</v>
      </c>
    </row>
    <row r="22" spans="1:35" x14ac:dyDescent="0.25">
      <c r="A22" s="81" t="s">
        <v>246</v>
      </c>
      <c r="B22" s="82">
        <v>36</v>
      </c>
      <c r="C22" s="82">
        <v>55</v>
      </c>
      <c r="D22" s="82">
        <v>39</v>
      </c>
      <c r="E22" s="82">
        <v>44</v>
      </c>
      <c r="F22" s="82" t="s">
        <v>247</v>
      </c>
      <c r="G22" s="82" t="s">
        <v>248</v>
      </c>
      <c r="H22" s="82">
        <v>1020</v>
      </c>
      <c r="I22" s="82">
        <v>817</v>
      </c>
      <c r="J22" s="82">
        <v>235.3</v>
      </c>
      <c r="K22" s="82">
        <v>235.3</v>
      </c>
      <c r="L22" s="82">
        <v>294.10000000000002</v>
      </c>
      <c r="M22" s="82">
        <v>294.10000000000002</v>
      </c>
      <c r="N22" s="82">
        <v>352.9</v>
      </c>
      <c r="O22" s="82">
        <v>470.6</v>
      </c>
      <c r="P22" s="82">
        <v>588.20000000000005</v>
      </c>
      <c r="Q22" s="82">
        <v>156.9</v>
      </c>
      <c r="R22" s="82">
        <v>130.69999999999999</v>
      </c>
      <c r="S22" s="82">
        <v>196.1</v>
      </c>
      <c r="T22" s="82">
        <v>163.4</v>
      </c>
      <c r="U22" s="82">
        <v>196.1</v>
      </c>
      <c r="V22" s="82">
        <v>313.7</v>
      </c>
      <c r="W22" s="82">
        <v>326.8</v>
      </c>
      <c r="X22" s="82" t="s">
        <v>212</v>
      </c>
      <c r="Y22" s="82">
        <v>25.92</v>
      </c>
      <c r="Z22" s="82">
        <v>28.8</v>
      </c>
      <c r="AA22" s="82">
        <v>30.96</v>
      </c>
      <c r="AB22" s="82">
        <v>28.8</v>
      </c>
      <c r="AC22" s="82">
        <v>35.28</v>
      </c>
      <c r="AD22" s="82">
        <v>6.88</v>
      </c>
      <c r="AE22" s="82">
        <v>8.2200000000000006</v>
      </c>
      <c r="AF22" s="82">
        <v>9.3699999999999992</v>
      </c>
      <c r="AG22" s="82">
        <v>32.17</v>
      </c>
      <c r="AH22" s="82">
        <v>38.42</v>
      </c>
      <c r="AI22" s="82">
        <v>43.78</v>
      </c>
    </row>
    <row r="23" spans="1:35" x14ac:dyDescent="0.25">
      <c r="A23" s="81" t="s">
        <v>249</v>
      </c>
      <c r="B23" s="82">
        <v>39</v>
      </c>
      <c r="C23" s="82">
        <v>60</v>
      </c>
      <c r="D23" s="82">
        <v>42</v>
      </c>
      <c r="E23" s="82">
        <v>47</v>
      </c>
      <c r="F23" s="82" t="s">
        <v>250</v>
      </c>
      <c r="G23" s="82" t="s">
        <v>251</v>
      </c>
      <c r="H23" s="82">
        <v>1190</v>
      </c>
      <c r="I23" s="82">
        <v>976</v>
      </c>
      <c r="J23" s="82">
        <v>281.10000000000002</v>
      </c>
      <c r="K23" s="82">
        <v>281.10000000000002</v>
      </c>
      <c r="L23" s="82">
        <v>351.4</v>
      </c>
      <c r="M23" s="82">
        <v>351.4</v>
      </c>
      <c r="N23" s="82">
        <v>421.6</v>
      </c>
      <c r="O23" s="82">
        <v>562.20000000000005</v>
      </c>
      <c r="P23" s="82">
        <v>702.7</v>
      </c>
      <c r="Q23" s="82">
        <v>187.4</v>
      </c>
      <c r="R23" s="82">
        <v>156.19999999999999</v>
      </c>
      <c r="S23" s="82">
        <v>234.2</v>
      </c>
      <c r="T23" s="82">
        <v>195.2</v>
      </c>
      <c r="U23" s="82">
        <v>234.2</v>
      </c>
      <c r="V23" s="82">
        <v>374.8</v>
      </c>
      <c r="W23" s="82">
        <v>390.4</v>
      </c>
      <c r="X23" s="82" t="s">
        <v>212</v>
      </c>
      <c r="Y23" s="82">
        <v>28.08</v>
      </c>
      <c r="Z23" s="82">
        <v>31.2</v>
      </c>
      <c r="AA23" s="82">
        <v>33.54</v>
      </c>
      <c r="AB23" s="82">
        <v>31.2</v>
      </c>
      <c r="AC23" s="82">
        <v>38.22</v>
      </c>
      <c r="AD23" s="82">
        <v>7.46</v>
      </c>
      <c r="AE23" s="82">
        <v>8.91</v>
      </c>
      <c r="AF23" s="82">
        <v>10.15</v>
      </c>
      <c r="AG23" s="82">
        <v>35.090000000000003</v>
      </c>
      <c r="AH23" s="82">
        <v>41.91</v>
      </c>
      <c r="AI23" s="82">
        <v>47.76</v>
      </c>
    </row>
  </sheetData>
  <mergeCells count="45">
    <mergeCell ref="AD4:AF4"/>
    <mergeCell ref="A2:A4"/>
    <mergeCell ref="B2:C4"/>
    <mergeCell ref="D2:G4"/>
    <mergeCell ref="H2:I4"/>
    <mergeCell ref="J2:P4"/>
    <mergeCell ref="Q2:W4"/>
    <mergeCell ref="AG2:AI4"/>
    <mergeCell ref="A5:A6"/>
    <mergeCell ref="D5:D6"/>
    <mergeCell ref="E5:E6"/>
    <mergeCell ref="F5:F6"/>
    <mergeCell ref="G5:G6"/>
    <mergeCell ref="J5:J6"/>
    <mergeCell ref="K5:K6"/>
    <mergeCell ref="L5:L6"/>
    <mergeCell ref="M5:M6"/>
    <mergeCell ref="X2:X4"/>
    <mergeCell ref="Y2:AC2"/>
    <mergeCell ref="Y3:AC3"/>
    <mergeCell ref="Y4:AC4"/>
    <mergeCell ref="AD2:AF2"/>
    <mergeCell ref="AD3:AF3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F5:AF6"/>
    <mergeCell ref="AG5:AG6"/>
    <mergeCell ref="AH5:AH6"/>
    <mergeCell ref="AI5:AI6"/>
    <mergeCell ref="Z5:Z6"/>
    <mergeCell ref="AA5:AA6"/>
    <mergeCell ref="AB5:AB6"/>
    <mergeCell ref="AC5:AC6"/>
    <mergeCell ref="AD5:AD6"/>
    <mergeCell ref="AE5:A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Brahma</dc:creator>
  <cp:lastModifiedBy>Arindam Brahma</cp:lastModifiedBy>
  <dcterms:created xsi:type="dcterms:W3CDTF">2025-08-20T17:04:52Z</dcterms:created>
  <dcterms:modified xsi:type="dcterms:W3CDTF">2026-01-31T14:28:54Z</dcterms:modified>
</cp:coreProperties>
</file>